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Documentos\"/>
    </mc:Choice>
  </mc:AlternateContent>
  <bookViews>
    <workbookView xWindow="0" yWindow="0" windowWidth="15345" windowHeight="3975"/>
  </bookViews>
  <sheets>
    <sheet name="BASE" sheetId="4" r:id="rId1"/>
    <sheet name="Dayly_Expenses" sheetId="5" r:id="rId2"/>
    <sheet name="Resume" sheetId="6" r:id="rId3"/>
    <sheet name="Informative_Dashboard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12" i="6"/>
  <c r="K13" i="6"/>
  <c r="K14" i="6"/>
  <c r="K15" i="6"/>
  <c r="K16" i="6"/>
  <c r="K5" i="6"/>
  <c r="K4" i="6"/>
  <c r="J7" i="6" l="1"/>
  <c r="J8" i="6"/>
  <c r="J9" i="6"/>
  <c r="J10" i="6"/>
  <c r="J11" i="6"/>
  <c r="J12" i="6"/>
  <c r="J13" i="6"/>
  <c r="J14" i="6"/>
  <c r="J15" i="6"/>
  <c r="J16" i="6"/>
  <c r="J6" i="6"/>
  <c r="J4" i="6"/>
  <c r="J5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5" i="6"/>
  <c r="B6" i="6"/>
  <c r="F13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8" i="6"/>
  <c r="F7" i="6"/>
  <c r="F6" i="6"/>
  <c r="F5" i="6"/>
  <c r="F4" i="6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49" i="5"/>
  <c r="C50" i="5"/>
  <c r="C51" i="5"/>
  <c r="C52" i="5"/>
  <c r="C53" i="5"/>
  <c r="C54" i="5"/>
  <c r="C55" i="5"/>
  <c r="C56" i="5"/>
  <c r="C57" i="5"/>
  <c r="C37" i="5"/>
  <c r="C38" i="5"/>
  <c r="C39" i="5"/>
  <c r="C40" i="5"/>
  <c r="C41" i="5"/>
  <c r="C42" i="5"/>
  <c r="C43" i="5"/>
  <c r="C44" i="5"/>
  <c r="C45" i="5"/>
  <c r="C46" i="5"/>
  <c r="C47" i="5"/>
  <c r="C4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D37" i="6"/>
  <c r="D38" i="6"/>
  <c r="D39" i="6"/>
  <c r="D40" i="6"/>
  <c r="D41" i="6"/>
  <c r="D27" i="6"/>
  <c r="D28" i="6"/>
  <c r="D29" i="6"/>
  <c r="D30" i="6"/>
  <c r="D31" i="6"/>
  <c r="D32" i="6"/>
  <c r="D33" i="6"/>
  <c r="D34" i="6"/>
  <c r="D35" i="6"/>
  <c r="D36" i="6"/>
  <c r="D15" i="6"/>
  <c r="D16" i="6"/>
  <c r="D17" i="6"/>
  <c r="D18" i="6"/>
  <c r="D19" i="6"/>
  <c r="D20" i="6"/>
  <c r="D21" i="6"/>
  <c r="D22" i="6"/>
  <c r="D23" i="6"/>
  <c r="D24" i="6"/>
  <c r="D25" i="6"/>
  <c r="D26" i="6"/>
  <c r="D14" i="6"/>
  <c r="D13" i="6"/>
  <c r="D12" i="6"/>
  <c r="D11" i="6"/>
  <c r="D10" i="6"/>
  <c r="D9" i="6"/>
  <c r="D8" i="6"/>
  <c r="D7" i="6"/>
  <c r="D6" i="6"/>
  <c r="D5" i="6"/>
  <c r="D4" i="6"/>
  <c r="C15" i="5"/>
  <c r="E19" i="4"/>
  <c r="E6" i="4"/>
  <c r="E7" i="4"/>
  <c r="E8" i="4"/>
  <c r="C23" i="6" s="1"/>
  <c r="E23" i="6" s="1"/>
  <c r="G23" i="6" s="1"/>
  <c r="E9" i="4"/>
  <c r="E10" i="4"/>
  <c r="E11" i="4"/>
  <c r="E12" i="4"/>
  <c r="C33" i="6" s="1"/>
  <c r="E33" i="6" s="1"/>
  <c r="G33" i="6" s="1"/>
  <c r="E13" i="4"/>
  <c r="E14" i="4"/>
  <c r="E15" i="4"/>
  <c r="E16" i="4"/>
  <c r="C35" i="6" s="1"/>
  <c r="E35" i="6" s="1"/>
  <c r="G35" i="6" s="1"/>
  <c r="E17" i="4"/>
  <c r="E18" i="4"/>
  <c r="E5" i="4"/>
  <c r="E4" i="4"/>
  <c r="C11" i="6" s="1"/>
  <c r="E11" i="6" s="1"/>
  <c r="G11" i="6" s="1"/>
  <c r="B13" i="4"/>
  <c r="B14" i="4"/>
  <c r="B15" i="4"/>
  <c r="B16" i="4"/>
  <c r="B17" i="4"/>
  <c r="B18" i="4"/>
  <c r="B19" i="4"/>
  <c r="B4" i="4"/>
  <c r="B12" i="4"/>
  <c r="B11" i="4"/>
  <c r="B10" i="4"/>
  <c r="B9" i="4"/>
  <c r="B8" i="4"/>
  <c r="B7" i="4"/>
  <c r="B6" i="4"/>
  <c r="B5" i="4"/>
  <c r="B4" i="6"/>
  <c r="B5" i="5"/>
  <c r="B4" i="5"/>
  <c r="B10" i="5"/>
  <c r="B28" i="5"/>
  <c r="B29" i="5"/>
  <c r="B30" i="5"/>
  <c r="B31" i="5"/>
  <c r="B32" i="5"/>
  <c r="B33" i="5"/>
  <c r="B34" i="5"/>
  <c r="B35" i="5"/>
  <c r="B36" i="5"/>
  <c r="B16" i="5"/>
  <c r="B17" i="5"/>
  <c r="B18" i="5"/>
  <c r="B19" i="5"/>
  <c r="B20" i="5"/>
  <c r="B21" i="5"/>
  <c r="B22" i="5"/>
  <c r="B23" i="5"/>
  <c r="B24" i="5"/>
  <c r="B25" i="5"/>
  <c r="B26" i="5"/>
  <c r="B27" i="5"/>
  <c r="B11" i="5"/>
  <c r="B12" i="5"/>
  <c r="B13" i="5"/>
  <c r="B14" i="5"/>
  <c r="B15" i="5"/>
  <c r="B9" i="5"/>
  <c r="B8" i="5"/>
  <c r="B7" i="5"/>
  <c r="B6" i="5"/>
  <c r="O42" i="4"/>
  <c r="N42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N34" i="4"/>
  <c r="N35" i="4"/>
  <c r="N36" i="4"/>
  <c r="N37" i="4"/>
  <c r="N38" i="4"/>
  <c r="N39" i="4"/>
  <c r="N40" i="4"/>
  <c r="N41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9" i="4"/>
  <c r="N10" i="4"/>
  <c r="N11" i="4"/>
  <c r="N12" i="4"/>
  <c r="N13" i="4"/>
  <c r="N14" i="4"/>
  <c r="N15" i="4"/>
  <c r="N16" i="4"/>
  <c r="N17" i="4"/>
  <c r="N18" i="4"/>
  <c r="N5" i="4"/>
  <c r="N6" i="4"/>
  <c r="N7" i="4"/>
  <c r="N8" i="4"/>
  <c r="O4" i="4"/>
  <c r="N4" i="4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14" i="5"/>
  <c r="C13" i="5"/>
  <c r="C12" i="5"/>
  <c r="C11" i="5"/>
  <c r="C10" i="5"/>
  <c r="C8" i="5"/>
  <c r="C7" i="5"/>
  <c r="C6" i="5"/>
  <c r="C5" i="5"/>
  <c r="C4" i="5"/>
  <c r="C4" i="6" l="1"/>
  <c r="C10" i="6"/>
  <c r="E10" i="6" s="1"/>
  <c r="G10" i="6" s="1"/>
  <c r="C8" i="6"/>
  <c r="E8" i="6" s="1"/>
  <c r="G8" i="6" s="1"/>
  <c r="C6" i="6"/>
  <c r="E6" i="6" s="1"/>
  <c r="G6" i="6" s="1"/>
  <c r="C20" i="6"/>
  <c r="E20" i="6" s="1"/>
  <c r="G20" i="6" s="1"/>
  <c r="C18" i="6"/>
  <c r="E18" i="6" s="1"/>
  <c r="G18" i="6" s="1"/>
  <c r="C16" i="6"/>
  <c r="E16" i="6" s="1"/>
  <c r="G16" i="6" s="1"/>
  <c r="C14" i="6"/>
  <c r="E14" i="6" s="1"/>
  <c r="G14" i="6" s="1"/>
  <c r="C12" i="6"/>
  <c r="E12" i="6" s="1"/>
  <c r="G12" i="6" s="1"/>
  <c r="C32" i="6"/>
  <c r="E32" i="6" s="1"/>
  <c r="G32" i="6" s="1"/>
  <c r="C30" i="6"/>
  <c r="E30" i="6" s="1"/>
  <c r="G30" i="6" s="1"/>
  <c r="C28" i="6"/>
  <c r="E28" i="6" s="1"/>
  <c r="G28" i="6" s="1"/>
  <c r="C26" i="6"/>
  <c r="E26" i="6" s="1"/>
  <c r="G26" i="6" s="1"/>
  <c r="C24" i="6"/>
  <c r="C22" i="6"/>
  <c r="E22" i="6" s="1"/>
  <c r="G22" i="6" s="1"/>
  <c r="C40" i="6"/>
  <c r="E40" i="6" s="1"/>
  <c r="G40" i="6" s="1"/>
  <c r="C38" i="6"/>
  <c r="E38" i="6" s="1"/>
  <c r="G38" i="6" s="1"/>
  <c r="C36" i="6"/>
  <c r="E36" i="6" s="1"/>
  <c r="G36" i="6" s="1"/>
  <c r="C34" i="6"/>
  <c r="E34" i="6" s="1"/>
  <c r="G34" i="6" s="1"/>
  <c r="C5" i="6"/>
  <c r="C9" i="6"/>
  <c r="E9" i="6" s="1"/>
  <c r="G9" i="6" s="1"/>
  <c r="C7" i="6"/>
  <c r="E7" i="6" s="1"/>
  <c r="G7" i="6" s="1"/>
  <c r="C21" i="6"/>
  <c r="E21" i="6" s="1"/>
  <c r="G21" i="6" s="1"/>
  <c r="C19" i="6"/>
  <c r="E19" i="6" s="1"/>
  <c r="G19" i="6" s="1"/>
  <c r="C17" i="6"/>
  <c r="E17" i="6" s="1"/>
  <c r="G17" i="6" s="1"/>
  <c r="C15" i="6"/>
  <c r="E15" i="6" s="1"/>
  <c r="G15" i="6" s="1"/>
  <c r="C13" i="6"/>
  <c r="E13" i="6" s="1"/>
  <c r="G13" i="6" s="1"/>
  <c r="C31" i="6"/>
  <c r="E31" i="6" s="1"/>
  <c r="G31" i="6" s="1"/>
  <c r="C29" i="6"/>
  <c r="E29" i="6" s="1"/>
  <c r="G29" i="6" s="1"/>
  <c r="C27" i="6"/>
  <c r="E27" i="6" s="1"/>
  <c r="G27" i="6" s="1"/>
  <c r="C25" i="6"/>
  <c r="E25" i="6" s="1"/>
  <c r="G25" i="6" s="1"/>
  <c r="C41" i="6"/>
  <c r="E41" i="6" s="1"/>
  <c r="G41" i="6" s="1"/>
  <c r="C39" i="6"/>
  <c r="E39" i="6" s="1"/>
  <c r="G39" i="6" s="1"/>
  <c r="C37" i="6"/>
  <c r="E37" i="6" s="1"/>
  <c r="G37" i="6" s="1"/>
  <c r="C9" i="5"/>
  <c r="E5" i="6" l="1"/>
  <c r="G5" i="6" s="1"/>
  <c r="E24" i="6"/>
  <c r="G24" i="6" s="1"/>
  <c r="E4" i="6"/>
  <c r="G4" i="6" s="1"/>
</calcChain>
</file>

<file path=xl/sharedStrings.xml><?xml version="1.0" encoding="utf-8"?>
<sst xmlns="http://schemas.openxmlformats.org/spreadsheetml/2006/main" count="64" uniqueCount="39">
  <si>
    <t>ID_CATEGORY</t>
  </si>
  <si>
    <t>CATEGORY</t>
  </si>
  <si>
    <t>YEAR</t>
  </si>
  <si>
    <t>MONTH</t>
  </si>
  <si>
    <t>TOTAL_EARNINGS</t>
  </si>
  <si>
    <t>TYPE</t>
  </si>
  <si>
    <t>VARIABLE</t>
  </si>
  <si>
    <t>DATE</t>
  </si>
  <si>
    <t>AMOUNT</t>
  </si>
  <si>
    <t>SOURCE</t>
  </si>
  <si>
    <t>PTC</t>
  </si>
  <si>
    <t>FOOD</t>
  </si>
  <si>
    <t>ENTRETAIMENT</t>
  </si>
  <si>
    <t>HEALTH</t>
  </si>
  <si>
    <t>EDUCATION</t>
  </si>
  <si>
    <t>TRAVEL</t>
  </si>
  <si>
    <t>EMERGENCIES</t>
  </si>
  <si>
    <t>INVESMENT</t>
  </si>
  <si>
    <t>GIFTS/CHARITY</t>
  </si>
  <si>
    <t>FIXED</t>
  </si>
  <si>
    <t>SAVINGS</t>
  </si>
  <si>
    <t>RENT/SERVICES</t>
  </si>
  <si>
    <t>WHIMS</t>
  </si>
  <si>
    <t>SALARY</t>
  </si>
  <si>
    <t>FREELANCING</t>
  </si>
  <si>
    <t>OTHERS</t>
  </si>
  <si>
    <t>DESCRIPTION_(OPTIONAL)</t>
  </si>
  <si>
    <t>DATE_MONTH</t>
  </si>
  <si>
    <t>EXPENSES_P/CAT</t>
  </si>
  <si>
    <t>INCOME_P/CAT</t>
  </si>
  <si>
    <t>MONTHLY_EARNINGS</t>
  </si>
  <si>
    <t>TOTAL_MONTHLY_INCOME</t>
  </si>
  <si>
    <t>SALARY 2</t>
  </si>
  <si>
    <t>MONTHLY_INCOME</t>
  </si>
  <si>
    <t>Regalo de Yei</t>
  </si>
  <si>
    <t>fucking temu</t>
  </si>
  <si>
    <t>fucking error de dedo en temu</t>
  </si>
  <si>
    <t>copera para kona (perrita de kawika)</t>
  </si>
  <si>
    <t>EARNINGS_P/CAT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</si>
</sst>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Segoe Print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14" fontId="2" fillId="2" borderId="0" xfId="1" applyNumberFormat="1"/>
  </cellXfs>
  <cellStyles count="2">
    <cellStyle name="Énfasis1" xfId="1" builtinId="29"/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>
        <left/>
        <right/>
        <top/>
        <bottom style="medium">
          <color auto="1"/>
        </bottom>
      </border>
    </dxf>
    <dxf>
      <border>
        <left/>
        <right/>
        <top/>
        <bottom style="medium">
          <color auto="1"/>
        </bottom>
        <vertical style="medium">
          <color auto="1"/>
        </vertical>
        <horizontal/>
      </border>
    </dxf>
  </dxfs>
  <tableStyles count="2" defaultTableStyle="TableStyleMedium2" defaultPivotStyle="PivotStyleLight16">
    <tableStyle name="Estilo de tabla 1" pivot="0" count="1">
      <tableStyleElement type="headerRow" dxfId="5"/>
    </tableStyle>
    <tableStyle name="Estilo de tabla 2" pivot="0" count="1"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5</xdr:col>
      <xdr:colOff>9525</xdr:colOff>
      <xdr:row>1</xdr:row>
      <xdr:rowOff>276225</xdr:rowOff>
    </xdr:to>
    <xdr:sp macro="" textlink="">
      <xdr:nvSpPr>
        <xdr:cNvPr id="2" name="CuadroTexto 1"/>
        <xdr:cNvSpPr txBox="1"/>
      </xdr:nvSpPr>
      <xdr:spPr>
        <a:xfrm>
          <a:off x="762000" y="104775"/>
          <a:ext cx="4295775" cy="361950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Incomes</a:t>
          </a:r>
          <a:r>
            <a:rPr lang="en-US" sz="1400" b="1" baseline="0">
              <a:solidFill>
                <a:schemeClr val="bg1"/>
              </a:solidFill>
            </a:rPr>
            <a:t> Table: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0</xdr:colOff>
      <xdr:row>0</xdr:row>
      <xdr:rowOff>104775</xdr:rowOff>
    </xdr:from>
    <xdr:to>
      <xdr:col>8</xdr:col>
      <xdr:colOff>276225</xdr:colOff>
      <xdr:row>1</xdr:row>
      <xdr:rowOff>276225</xdr:rowOff>
    </xdr:to>
    <xdr:sp macro="" textlink="">
      <xdr:nvSpPr>
        <xdr:cNvPr id="3" name="CuadroTexto 2"/>
        <xdr:cNvSpPr txBox="1"/>
      </xdr:nvSpPr>
      <xdr:spPr>
        <a:xfrm>
          <a:off x="4724400" y="104775"/>
          <a:ext cx="2438400" cy="3619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Expense's</a:t>
          </a:r>
          <a:r>
            <a:rPr lang="en-US" sz="1400" b="1" baseline="0">
              <a:solidFill>
                <a:schemeClr val="bg1"/>
              </a:solidFill>
            </a:rPr>
            <a:t> Categories Table: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0</xdr:colOff>
      <xdr:row>13</xdr:row>
      <xdr:rowOff>190498</xdr:rowOff>
    </xdr:from>
    <xdr:to>
      <xdr:col>8</xdr:col>
      <xdr:colOff>276225</xdr:colOff>
      <xdr:row>32</xdr:row>
      <xdr:rowOff>161925</xdr:rowOff>
    </xdr:to>
    <xdr:sp macro="" textlink="">
      <xdr:nvSpPr>
        <xdr:cNvPr id="4" name="CuadroTexto 3"/>
        <xdr:cNvSpPr txBox="1"/>
      </xdr:nvSpPr>
      <xdr:spPr>
        <a:xfrm>
          <a:off x="4733925" y="2886073"/>
          <a:ext cx="2438400" cy="381952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ysClr val="windowText" lastClr="000000"/>
              </a:solidFill>
            </a:rPr>
            <a:t>Explenation</a:t>
          </a:r>
          <a:r>
            <a:rPr lang="en-US" sz="1400" b="1" baseline="0">
              <a:solidFill>
                <a:sysClr val="windowText" lastClr="000000"/>
              </a:solidFill>
            </a:rPr>
            <a:t>:</a:t>
          </a:r>
        </a:p>
        <a:p>
          <a:endParaRPr lang="en-US" sz="1400" b="1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>
              <a:solidFill>
                <a:sysClr val="windowText" lastClr="000000"/>
              </a:solidFill>
              <a:latin typeface="Segoe Print" panose="02000600000000000000" pitchFamily="2" charset="0"/>
            </a:rPr>
            <a:t>This</a:t>
          </a:r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 table helps you set a percentage of the salary to cover the monthly expenses, some kind of expenses as "Travel" or "emergencies" don't come every month, however, they can represent a big expense when they happend. The idea of this savings categories is to save that percentage of the total incomes monthly to save for the future, in a way that every expences is covered, in the present and at the future.</a:t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/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endParaRPr lang="en-US" sz="1000" b="0">
            <a:solidFill>
              <a:sysClr val="windowText" lastClr="000000"/>
            </a:solidFill>
            <a:latin typeface="Segoe Print" panose="02000600000000000000" pitchFamily="2" charset="0"/>
          </a:endParaRPr>
        </a:p>
      </xdr:txBody>
    </xdr:sp>
    <xdr:clientData/>
  </xdr:twoCellAnchor>
  <xdr:twoCellAnchor>
    <xdr:from>
      <xdr:col>8</xdr:col>
      <xdr:colOff>371475</xdr:colOff>
      <xdr:row>14</xdr:row>
      <xdr:rowOff>9523</xdr:rowOff>
    </xdr:from>
    <xdr:to>
      <xdr:col>11</xdr:col>
      <xdr:colOff>38100</xdr:colOff>
      <xdr:row>32</xdr:row>
      <xdr:rowOff>180975</xdr:rowOff>
    </xdr:to>
    <xdr:sp macro="" textlink="">
      <xdr:nvSpPr>
        <xdr:cNvPr id="8" name="CuadroTexto 7"/>
        <xdr:cNvSpPr txBox="1"/>
      </xdr:nvSpPr>
      <xdr:spPr>
        <a:xfrm>
          <a:off x="8343900" y="2895598"/>
          <a:ext cx="2438400" cy="382905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/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The "Whims" category (called self love before), is destinated to thoses extra spoiled gifts or craves persons can  sometime have.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>
              <a:solidFill>
                <a:sysClr val="windowText" lastClr="000000"/>
              </a:solidFill>
              <a:latin typeface="Segoe Print" panose="02000600000000000000" pitchFamily="2" charset="0"/>
            </a:rPr>
            <a:t>I didnt include,</a:t>
          </a:r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 for example,</a:t>
          </a:r>
          <a:r>
            <a:rPr lang="en-US" sz="1000" b="0">
              <a:solidFill>
                <a:sysClr val="windowText" lastClr="000000"/>
              </a:solidFill>
              <a:latin typeface="Segoe Print" panose="02000600000000000000" pitchFamily="2" charset="0"/>
            </a:rPr>
            <a:t> transportation as a category, since I beilve it is included it in entretaintment or servises.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>
            <a:solidFill>
              <a:sysClr val="windowText" lastClr="000000"/>
            </a:solidFill>
            <a:effectLst/>
            <a:latin typeface="Segoe Print" panose="02000600000000000000" pitchFamily="2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dk1"/>
              </a:solidFill>
              <a:effectLst/>
              <a:latin typeface="Segoe Print" panose="02000600000000000000" pitchFamily="2" charset="0"/>
              <a:ea typeface="+mn-ea"/>
              <a:cs typeface="+mn-cs"/>
            </a:rPr>
            <a:t>* You can always add or remove some extra category,</a:t>
          </a:r>
          <a:r>
            <a:rPr lang="en-US" sz="900" b="0" baseline="0">
              <a:solidFill>
                <a:schemeClr val="dk1"/>
              </a:solidFill>
              <a:effectLst/>
              <a:latin typeface="Segoe Print" panose="02000600000000000000" pitchFamily="2" charset="0"/>
              <a:ea typeface="+mn-ea"/>
              <a:cs typeface="+mn-cs"/>
            </a:rPr>
            <a:t> but this maight alterate the dinamic tables calculations or some formulas migh need to be adjusted.</a:t>
          </a:r>
          <a:endParaRPr lang="en-US" sz="700">
            <a:effectLst/>
            <a:latin typeface="Segoe Print" panose="02000600000000000000" pitchFamily="2" charset="0"/>
          </a:endParaRPr>
        </a:p>
        <a:p>
          <a:r>
            <a:rPr lang="en-US" sz="1000" b="0">
              <a:solidFill>
                <a:sysClr val="windowText" lastClr="000000"/>
              </a:solidFill>
              <a:latin typeface="Segoe Print" panose="02000600000000000000" pitchFamily="2" charset="0"/>
            </a:rPr>
            <a:t/>
          </a:r>
          <a:br>
            <a:rPr lang="en-US" sz="1000" b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endParaRPr lang="en-US" sz="1000" b="0">
            <a:solidFill>
              <a:sysClr val="windowText" lastClr="000000"/>
            </a:solidFill>
            <a:latin typeface="Segoe Print" panose="02000600000000000000" pitchFamily="2" charset="0"/>
          </a:endParaRPr>
        </a:p>
      </xdr:txBody>
    </xdr:sp>
    <xdr:clientData/>
  </xdr:twoCellAnchor>
  <xdr:twoCellAnchor>
    <xdr:from>
      <xdr:col>1</xdr:col>
      <xdr:colOff>9525</xdr:colOff>
      <xdr:row>23</xdr:row>
      <xdr:rowOff>9524</xdr:rowOff>
    </xdr:from>
    <xdr:to>
      <xdr:col>4</xdr:col>
      <xdr:colOff>0</xdr:colOff>
      <xdr:row>47</xdr:row>
      <xdr:rowOff>57149</xdr:rowOff>
    </xdr:to>
    <xdr:sp macro="" textlink="">
      <xdr:nvSpPr>
        <xdr:cNvPr id="9" name="CuadroTexto 8"/>
        <xdr:cNvSpPr txBox="1"/>
      </xdr:nvSpPr>
      <xdr:spPr>
        <a:xfrm>
          <a:off x="771525" y="4838699"/>
          <a:ext cx="2438400" cy="46196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ysClr val="windowText" lastClr="000000"/>
              </a:solidFill>
            </a:rPr>
            <a:t>Explanation</a:t>
          </a:r>
          <a:r>
            <a:rPr lang="en-US" sz="1400" b="1" baseline="0">
              <a:solidFill>
                <a:sysClr val="windowText" lastClr="000000"/>
              </a:solidFill>
            </a:rPr>
            <a:t>:</a:t>
          </a:r>
        </a:p>
        <a:p>
          <a:endParaRPr lang="en-US" sz="1400" b="1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The incomes table, helps you sumerise the diversificated incomes that healthy finances climb as a goal.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You might have only one type of income one month, but sale something other or, receive a gift as birthday, this table helps you track it and call it. 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* Some people receive their salary in two parts each month, others have two jobs, etc. Please include you incomer into the 4 or less diferent sourses, or as convinience for you.</a:t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/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endParaRPr lang="en-US" sz="1000" b="0">
            <a:solidFill>
              <a:sysClr val="windowText" lastClr="000000"/>
            </a:solidFill>
            <a:latin typeface="Segoe Print" panose="02000600000000000000" pitchFamily="2" charset="0"/>
          </a:endParaRPr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3</xdr:col>
      <xdr:colOff>762000</xdr:colOff>
      <xdr:row>24</xdr:row>
      <xdr:rowOff>180975</xdr:rowOff>
    </xdr:to>
    <xdr:sp macro="" textlink="">
      <xdr:nvSpPr>
        <xdr:cNvPr id="10" name="CuadroTexto 9"/>
        <xdr:cNvSpPr txBox="1"/>
      </xdr:nvSpPr>
      <xdr:spPr>
        <a:xfrm>
          <a:off x="762000" y="4838700"/>
          <a:ext cx="2438400" cy="361950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Explanation</a:t>
          </a:r>
          <a:r>
            <a:rPr lang="en-US" sz="1400" b="1" baseline="0">
              <a:solidFill>
                <a:schemeClr val="bg1"/>
              </a:solidFill>
            </a:rPr>
            <a:t>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752474</xdr:colOff>
      <xdr:row>0</xdr:row>
      <xdr:rowOff>104775</xdr:rowOff>
    </xdr:from>
    <xdr:to>
      <xdr:col>10</xdr:col>
      <xdr:colOff>19049</xdr:colOff>
      <xdr:row>1</xdr:row>
      <xdr:rowOff>276225</xdr:rowOff>
    </xdr:to>
    <xdr:sp macro="" textlink="">
      <xdr:nvSpPr>
        <xdr:cNvPr id="11" name="CuadroTexto 10"/>
        <xdr:cNvSpPr txBox="1"/>
      </xdr:nvSpPr>
      <xdr:spPr>
        <a:xfrm>
          <a:off x="4724399" y="104775"/>
          <a:ext cx="4200525" cy="3619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Expense's</a:t>
          </a:r>
          <a:r>
            <a:rPr lang="en-US" sz="1400" b="1" baseline="0">
              <a:solidFill>
                <a:schemeClr val="bg1"/>
              </a:solidFill>
            </a:rPr>
            <a:t> Categories Table: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9525</xdr:colOff>
      <xdr:row>0</xdr:row>
      <xdr:rowOff>104775</xdr:rowOff>
    </xdr:from>
    <xdr:to>
      <xdr:col>15</xdr:col>
      <xdr:colOff>19050</xdr:colOff>
      <xdr:row>1</xdr:row>
      <xdr:rowOff>276225</xdr:rowOff>
    </xdr:to>
    <xdr:sp macro="" textlink="">
      <xdr:nvSpPr>
        <xdr:cNvPr id="12" name="CuadroTexto 11"/>
        <xdr:cNvSpPr txBox="1"/>
      </xdr:nvSpPr>
      <xdr:spPr>
        <a:xfrm>
          <a:off x="10439400" y="104775"/>
          <a:ext cx="2295525" cy="3619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Calendar </a:t>
          </a:r>
          <a:r>
            <a:rPr lang="en-US" sz="1400" b="1" baseline="0">
              <a:solidFill>
                <a:schemeClr val="bg1"/>
              </a:solidFill>
            </a:rPr>
            <a:t>Table: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752475</xdr:colOff>
      <xdr:row>14</xdr:row>
      <xdr:rowOff>0</xdr:rowOff>
    </xdr:from>
    <xdr:to>
      <xdr:col>11</xdr:col>
      <xdr:colOff>47625</xdr:colOff>
      <xdr:row>15</xdr:row>
      <xdr:rowOff>171450</xdr:rowOff>
    </xdr:to>
    <xdr:sp macro="" textlink="">
      <xdr:nvSpPr>
        <xdr:cNvPr id="13" name="CuadroTexto 12"/>
        <xdr:cNvSpPr txBox="1"/>
      </xdr:nvSpPr>
      <xdr:spPr>
        <a:xfrm>
          <a:off x="5800725" y="2886075"/>
          <a:ext cx="4991100" cy="3619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400" b="1">
              <a:solidFill>
                <a:schemeClr val="bg1"/>
              </a:solidFill>
            </a:rPr>
            <a:t>Explanation</a:t>
          </a:r>
          <a:r>
            <a:rPr lang="en-US" sz="1400" b="1" baseline="0">
              <a:solidFill>
                <a:schemeClr val="bg1"/>
              </a:solidFill>
            </a:rPr>
            <a:t>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238125</xdr:rowOff>
    </xdr:from>
    <xdr:to>
      <xdr:col>10</xdr:col>
      <xdr:colOff>476250</xdr:colOff>
      <xdr:row>26</xdr:row>
      <xdr:rowOff>171450</xdr:rowOff>
    </xdr:to>
    <xdr:sp macro="" textlink="">
      <xdr:nvSpPr>
        <xdr:cNvPr id="2" name="CuadroTexto 1"/>
        <xdr:cNvSpPr txBox="1"/>
      </xdr:nvSpPr>
      <xdr:spPr>
        <a:xfrm>
          <a:off x="6086475" y="600075"/>
          <a:ext cx="3524250" cy="4867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ysClr val="windowText" lastClr="000000"/>
              </a:solidFill>
            </a:rPr>
            <a:t>Explanation</a:t>
          </a:r>
          <a:r>
            <a:rPr lang="en-US" sz="1400" b="1" baseline="0">
              <a:solidFill>
                <a:sysClr val="windowText" lastClr="000000"/>
              </a:solidFill>
            </a:rPr>
            <a:t>:</a:t>
          </a:r>
        </a:p>
        <a:p>
          <a:endParaRPr lang="en-US" sz="1400" b="1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This is probably your most important table.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You will add every expense every day. Your job will be to properly add each outcome into the correct category.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You can see each date repeating 10 times into the table, one per category, it is important to fill each field correctly for future analyst and moments of truth.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Not every day you will espend in heath or education. Feel free to leave those fields empty if you didn´t espended money on them.</a:t>
          </a:r>
        </a:p>
        <a:p>
          <a:endParaRPr lang="en-US" sz="1000" b="0" baseline="0">
            <a:solidFill>
              <a:sysClr val="windowText" lastClr="000000"/>
            </a:solidFill>
            <a:latin typeface="Segoe Print" panose="02000600000000000000" pitchFamily="2" charset="0"/>
          </a:endParaRPr>
        </a:p>
        <a:p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>The Description field is optional, yet helpfull for moments of high expenses if you want to know exactly where did that money went.</a:t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  <a:t/>
          </a:r>
          <a:br>
            <a:rPr lang="en-US" sz="1000" b="0" baseline="0">
              <a:solidFill>
                <a:sysClr val="windowText" lastClr="000000"/>
              </a:solidFill>
              <a:latin typeface="Segoe Print" panose="02000600000000000000" pitchFamily="2" charset="0"/>
            </a:rPr>
          </a:br>
          <a:endParaRPr lang="en-US" sz="1000" b="0">
            <a:solidFill>
              <a:sysClr val="windowText" lastClr="000000"/>
            </a:solidFill>
            <a:latin typeface="Segoe Print" panose="02000600000000000000" pitchFamily="2" charset="0"/>
          </a:endParaRPr>
        </a:p>
      </xdr:txBody>
    </xdr:sp>
    <xdr:clientData/>
  </xdr:twoCellAnchor>
  <xdr:twoCellAnchor>
    <xdr:from>
      <xdr:col>5</xdr:col>
      <xdr:colOff>761999</xdr:colOff>
      <xdr:row>1</xdr:row>
      <xdr:rowOff>180975</xdr:rowOff>
    </xdr:from>
    <xdr:to>
      <xdr:col>10</xdr:col>
      <xdr:colOff>485774</xdr:colOff>
      <xdr:row>3</xdr:row>
      <xdr:rowOff>114300</xdr:rowOff>
    </xdr:to>
    <xdr:sp macro="" textlink="">
      <xdr:nvSpPr>
        <xdr:cNvPr id="3" name="CuadroTexto 2"/>
        <xdr:cNvSpPr txBox="1"/>
      </xdr:nvSpPr>
      <xdr:spPr>
        <a:xfrm>
          <a:off x="6086474" y="542925"/>
          <a:ext cx="3533775" cy="48577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400" b="1">
              <a:solidFill>
                <a:schemeClr val="bg1"/>
              </a:solidFill>
            </a:rPr>
            <a:t>Explanation</a:t>
          </a:r>
          <a:r>
            <a:rPr lang="en-US" sz="1400" b="1" baseline="0">
              <a:solidFill>
                <a:schemeClr val="bg1"/>
              </a:solidFill>
            </a:rPr>
            <a:t>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752475</xdr:colOff>
      <xdr:row>0</xdr:row>
      <xdr:rowOff>190500</xdr:rowOff>
    </xdr:from>
    <xdr:to>
      <xdr:col>5</xdr:col>
      <xdr:colOff>0</xdr:colOff>
      <xdr:row>1</xdr:row>
      <xdr:rowOff>190500</xdr:rowOff>
    </xdr:to>
    <xdr:sp macro="" textlink="">
      <xdr:nvSpPr>
        <xdr:cNvPr id="4" name="CuadroTexto 3"/>
        <xdr:cNvSpPr txBox="1"/>
      </xdr:nvSpPr>
      <xdr:spPr>
        <a:xfrm>
          <a:off x="752475" y="190500"/>
          <a:ext cx="4572000" cy="3619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Daily</a:t>
          </a:r>
          <a:r>
            <a:rPr lang="en-US" sz="1400" b="1" baseline="0">
              <a:solidFill>
                <a:schemeClr val="bg1"/>
              </a:solidFill>
            </a:rPr>
            <a:t> Expenses Table: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CATEGORIES_DIM" displayName="CATEGORIES_DIM" ref="G3:J13" totalsRowShown="0">
  <autoFilter ref="G3:J13"/>
  <tableColumns count="4">
    <tableColumn id="4" name="ID_CATEGORY"/>
    <tableColumn id="1" name="CATEGORY"/>
    <tableColumn id="2" name="TYPE"/>
    <tableColumn id="3" name="PTC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5" name="Incomes_table" displayName="Incomes_table" ref="B3:E19" totalsRowShown="0">
  <autoFilter ref="B3:E19"/>
  <tableColumns count="4">
    <tableColumn id="1" name="DATE" dataDxfId="3"/>
    <tableColumn id="2" name="SOURCE"/>
    <tableColumn id="3" name="AMOUNT"/>
    <tableColumn id="4" name="TOTAL_MONTHLY_INCOME">
      <calculatedColumnFormula>SUMIFS(Incomes_table[AMOUNT],Incomes_table[DATE], "&gt;="&amp;DATE(YEAR(Incomes_table[[#This Row],[DATE]]),MONTH(Incomes_table[[#This Row],[DATE]]),1),Incomes_table[DATE], "&lt;"&amp;DATE(YEAR(Incomes_table[[#This Row],[DATE]]),MONTH(Incomes_table[[#This Row],[DATE]])+1,1))</calculatedColumnFormula>
    </tableColumn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8" name="Calendar_table" displayName="Calendar_table" ref="M3:O42" totalsRowShown="0">
  <autoFilter ref="M3:O42"/>
  <tableColumns count="3">
    <tableColumn id="1" name="DATE" dataDxfId="2"/>
    <tableColumn id="2" name="MONTH">
      <calculatedColumnFormula>MONTH(M4)</calculatedColumnFormula>
    </tableColumn>
    <tableColumn id="3" name="YEAR">
      <calculatedColumnFormula>YEAR(M4)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6" name="Daily_expenses" displayName="Daily_expenses" ref="B3:E367" totalsRowShown="0">
  <autoFilter ref="B3:E367"/>
  <tableColumns count="4">
    <tableColumn id="1" name="DATE" dataDxfId="1">
      <calculatedColumnFormula>INDEX(#REF!,INT((ROW()-ROW($C$4))/
ROWS(CATEGORIES_DIM[CATEGORY])+1))</calculatedColumnFormula>
    </tableColumn>
    <tableColumn id="2" name="CATEGORY"/>
    <tableColumn id="3" name="AMOUNT"/>
    <tableColumn id="4" name="DESCRIPTION_(OPTIONAL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Facts_Cat_table" displayName="Facts_Cat_table" ref="B3:G41" totalsRowShown="0">
  <autoFilter ref="B3:G41"/>
  <tableColumns count="6">
    <tableColumn id="1" name="DATE_MONTH"/>
    <tableColumn id="2" name="MONTHLY_INCOME">
      <calculatedColumnFormula>VLOOKUP(Facts_Cat_table[[#This Row],[DATE_MONTH]],Incomes_table[],4,FALSE)</calculatedColumnFormula>
    </tableColumn>
    <tableColumn id="3" name="CATEGORY"/>
    <tableColumn id="4" name="INCOME_P/CAT"/>
    <tableColumn id="5" name="EXPENSES_P/CAT"/>
    <tableColumn id="6" name="EARNINGS_P/CAT">
      <calculatedColumnFormula>MOD(Facts_Cat_table[[#This Row],[INCOME_P/CAT]],Facts_Cat_table[[#This Row],[EXPENSES_P/CAT]])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Facts_Monthy_Earnigns" displayName="Facts_Monthy_Earnigns" ref="I3:K16" totalsRowShown="0">
  <autoFilter ref="I3:K16"/>
  <tableColumns count="3">
    <tableColumn id="1" name="MONTH" dataDxfId="0"/>
    <tableColumn id="2" name="MONTHLY_EARNINGS"/>
    <tableColumn id="3" name="TOTAL_EARN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2"/>
  <sheetViews>
    <sheetView tabSelected="1" workbookViewId="0">
      <selection activeCell="A6" sqref="A6"/>
    </sheetView>
  </sheetViews>
  <sheetFormatPr baseColWidth="10" defaultRowHeight="15" x14ac:dyDescent="0.25"/>
  <cols>
    <col min="3" max="3" width="13.7109375" customWidth="1"/>
    <col min="4" max="4" width="11.5703125" customWidth="1"/>
    <col min="5" max="5" width="27.5703125" customWidth="1"/>
    <col min="8" max="8" width="21" customWidth="1"/>
    <col min="9" max="9" width="18.7109375" customWidth="1"/>
  </cols>
  <sheetData>
    <row r="2" spans="2:15" ht="32.25" customHeight="1" x14ac:dyDescent="0.25"/>
    <row r="3" spans="2:15" x14ac:dyDescent="0.25">
      <c r="B3" t="s">
        <v>7</v>
      </c>
      <c r="C3" t="s">
        <v>9</v>
      </c>
      <c r="D3" t="s">
        <v>8</v>
      </c>
      <c r="E3" t="s">
        <v>31</v>
      </c>
      <c r="G3" s="1" t="s">
        <v>0</v>
      </c>
      <c r="H3" s="1" t="s">
        <v>1</v>
      </c>
      <c r="I3" s="1" t="s">
        <v>5</v>
      </c>
      <c r="J3" s="2" t="s">
        <v>10</v>
      </c>
      <c r="M3" t="s">
        <v>7</v>
      </c>
      <c r="N3" t="s">
        <v>3</v>
      </c>
      <c r="O3" t="s">
        <v>2</v>
      </c>
    </row>
    <row r="4" spans="2:15" x14ac:dyDescent="0.25">
      <c r="B4" s="3">
        <f t="shared" ref="B4:B12" si="0">DATE(2026,INT((ROW()-ROW($B$4))/4)+4,1)</f>
        <v>46113</v>
      </c>
      <c r="C4" t="s">
        <v>23</v>
      </c>
      <c r="D4">
        <v>9000</v>
      </c>
      <c r="E4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18700</v>
      </c>
      <c r="G4">
        <v>1</v>
      </c>
      <c r="H4" t="s">
        <v>21</v>
      </c>
      <c r="I4" t="s">
        <v>19</v>
      </c>
      <c r="J4">
        <v>0.3</v>
      </c>
      <c r="M4" s="3">
        <v>46113</v>
      </c>
      <c r="N4">
        <f>MONTH(M4)</f>
        <v>4</v>
      </c>
      <c r="O4">
        <f>YEAR(M4)</f>
        <v>2026</v>
      </c>
    </row>
    <row r="5" spans="2:15" x14ac:dyDescent="0.25">
      <c r="B5" s="3">
        <f t="shared" si="0"/>
        <v>46113</v>
      </c>
      <c r="C5" t="s">
        <v>24</v>
      </c>
      <c r="D5">
        <v>500</v>
      </c>
      <c r="E5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18700</v>
      </c>
      <c r="G5">
        <v>2</v>
      </c>
      <c r="H5" t="s">
        <v>11</v>
      </c>
      <c r="I5" t="s">
        <v>6</v>
      </c>
      <c r="J5">
        <v>0.2</v>
      </c>
      <c r="M5" s="3">
        <v>46114</v>
      </c>
      <c r="N5">
        <f t="shared" ref="N5:N42" si="1">MONTH(M5)</f>
        <v>4</v>
      </c>
      <c r="O5">
        <f t="shared" ref="O5:O42" si="2">YEAR(M5)</f>
        <v>2026</v>
      </c>
    </row>
    <row r="6" spans="2:15" x14ac:dyDescent="0.25">
      <c r="B6" s="3">
        <f t="shared" si="0"/>
        <v>46113</v>
      </c>
      <c r="C6" t="s">
        <v>32</v>
      </c>
      <c r="D6">
        <v>9000</v>
      </c>
      <c r="E6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18700</v>
      </c>
      <c r="G6">
        <v>3</v>
      </c>
      <c r="H6" t="s">
        <v>12</v>
      </c>
      <c r="I6" t="s">
        <v>6</v>
      </c>
      <c r="J6">
        <v>0.15</v>
      </c>
      <c r="M6" s="3">
        <v>46115</v>
      </c>
      <c r="N6">
        <f t="shared" si="1"/>
        <v>4</v>
      </c>
      <c r="O6">
        <f t="shared" si="2"/>
        <v>2026</v>
      </c>
    </row>
    <row r="7" spans="2:15" x14ac:dyDescent="0.25">
      <c r="B7" s="3">
        <f t="shared" si="0"/>
        <v>46113</v>
      </c>
      <c r="C7" t="s">
        <v>25</v>
      </c>
      <c r="D7">
        <v>200</v>
      </c>
      <c r="E7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18700</v>
      </c>
      <c r="G7">
        <v>4</v>
      </c>
      <c r="H7" t="s">
        <v>13</v>
      </c>
      <c r="I7" t="s">
        <v>20</v>
      </c>
      <c r="J7">
        <v>2.5000000000000001E-2</v>
      </c>
      <c r="M7" s="3">
        <v>46116</v>
      </c>
      <c r="N7">
        <f t="shared" si="1"/>
        <v>4</v>
      </c>
      <c r="O7">
        <f t="shared" si="2"/>
        <v>2026</v>
      </c>
    </row>
    <row r="8" spans="2:15" x14ac:dyDescent="0.25">
      <c r="B8" s="3">
        <f t="shared" si="0"/>
        <v>46143</v>
      </c>
      <c r="C8" t="s">
        <v>23</v>
      </c>
      <c r="D8">
        <v>9000</v>
      </c>
      <c r="E8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9000</v>
      </c>
      <c r="G8">
        <v>5</v>
      </c>
      <c r="H8" t="s">
        <v>14</v>
      </c>
      <c r="I8" t="s">
        <v>20</v>
      </c>
      <c r="J8">
        <v>0.05</v>
      </c>
      <c r="M8" s="3">
        <v>46117</v>
      </c>
      <c r="N8">
        <f t="shared" si="1"/>
        <v>4</v>
      </c>
      <c r="O8">
        <f t="shared" si="2"/>
        <v>2026</v>
      </c>
    </row>
    <row r="9" spans="2:15" x14ac:dyDescent="0.25">
      <c r="B9" s="3">
        <f t="shared" si="0"/>
        <v>46143</v>
      </c>
      <c r="C9" t="s">
        <v>24</v>
      </c>
      <c r="E9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9000</v>
      </c>
      <c r="G9">
        <v>6</v>
      </c>
      <c r="H9" t="s">
        <v>15</v>
      </c>
      <c r="I9" t="s">
        <v>20</v>
      </c>
      <c r="J9">
        <v>0.1</v>
      </c>
      <c r="M9" s="3">
        <v>46118</v>
      </c>
      <c r="N9">
        <f t="shared" si="1"/>
        <v>4</v>
      </c>
      <c r="O9">
        <f t="shared" si="2"/>
        <v>2026</v>
      </c>
    </row>
    <row r="10" spans="2:15" x14ac:dyDescent="0.25">
      <c r="B10" s="3">
        <f t="shared" si="0"/>
        <v>46143</v>
      </c>
      <c r="C10" t="s">
        <v>32</v>
      </c>
      <c r="E10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9000</v>
      </c>
      <c r="G10">
        <v>7</v>
      </c>
      <c r="H10" t="s">
        <v>16</v>
      </c>
      <c r="I10" t="s">
        <v>20</v>
      </c>
      <c r="J10">
        <v>0.05</v>
      </c>
      <c r="M10" s="3">
        <v>46119</v>
      </c>
      <c r="N10">
        <f t="shared" si="1"/>
        <v>4</v>
      </c>
      <c r="O10">
        <f t="shared" si="2"/>
        <v>2026</v>
      </c>
    </row>
    <row r="11" spans="2:15" x14ac:dyDescent="0.25">
      <c r="B11" s="3">
        <f t="shared" si="0"/>
        <v>46143</v>
      </c>
      <c r="C11" t="s">
        <v>25</v>
      </c>
      <c r="E11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9000</v>
      </c>
      <c r="G11">
        <v>8</v>
      </c>
      <c r="H11" t="s">
        <v>17</v>
      </c>
      <c r="I11" t="s">
        <v>6</v>
      </c>
      <c r="J11">
        <v>0.05</v>
      </c>
      <c r="M11" s="3">
        <v>46120</v>
      </c>
      <c r="N11">
        <f t="shared" si="1"/>
        <v>4</v>
      </c>
      <c r="O11">
        <f t="shared" si="2"/>
        <v>2026</v>
      </c>
    </row>
    <row r="12" spans="2:15" x14ac:dyDescent="0.25">
      <c r="B12" s="3">
        <f t="shared" si="0"/>
        <v>46174</v>
      </c>
      <c r="C12" t="s">
        <v>23</v>
      </c>
      <c r="E12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G12">
        <v>9</v>
      </c>
      <c r="H12" t="s">
        <v>22</v>
      </c>
      <c r="I12" t="s">
        <v>6</v>
      </c>
      <c r="J12">
        <v>0.05</v>
      </c>
      <c r="M12" s="3">
        <v>46121</v>
      </c>
      <c r="N12">
        <f t="shared" si="1"/>
        <v>4</v>
      </c>
      <c r="O12">
        <f t="shared" si="2"/>
        <v>2026</v>
      </c>
    </row>
    <row r="13" spans="2:15" x14ac:dyDescent="0.25">
      <c r="B13" s="3">
        <f t="shared" ref="B13:B19" si="3">DATE(2026,INT((ROW()-ROW($B$4))/4)+4,1)</f>
        <v>46174</v>
      </c>
      <c r="C13" t="s">
        <v>24</v>
      </c>
      <c r="E13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G13">
        <v>10</v>
      </c>
      <c r="H13" t="s">
        <v>18</v>
      </c>
      <c r="I13" t="s">
        <v>20</v>
      </c>
      <c r="J13">
        <v>2.5000000000000001E-2</v>
      </c>
      <c r="M13" s="3">
        <v>46122</v>
      </c>
      <c r="N13">
        <f t="shared" si="1"/>
        <v>4</v>
      </c>
      <c r="O13">
        <f t="shared" si="2"/>
        <v>2026</v>
      </c>
    </row>
    <row r="14" spans="2:15" x14ac:dyDescent="0.25">
      <c r="B14" s="3">
        <f t="shared" si="3"/>
        <v>46174</v>
      </c>
      <c r="C14" t="s">
        <v>32</v>
      </c>
      <c r="E14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M14" s="3">
        <v>46123</v>
      </c>
      <c r="N14">
        <f t="shared" si="1"/>
        <v>4</v>
      </c>
      <c r="O14">
        <f t="shared" si="2"/>
        <v>2026</v>
      </c>
    </row>
    <row r="15" spans="2:15" x14ac:dyDescent="0.25">
      <c r="B15" s="3">
        <f t="shared" si="3"/>
        <v>46174</v>
      </c>
      <c r="C15" t="s">
        <v>25</v>
      </c>
      <c r="E15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M15" s="3">
        <v>46124</v>
      </c>
      <c r="N15">
        <f t="shared" si="1"/>
        <v>4</v>
      </c>
      <c r="O15">
        <f t="shared" si="2"/>
        <v>2026</v>
      </c>
    </row>
    <row r="16" spans="2:15" x14ac:dyDescent="0.25">
      <c r="B16" s="3">
        <f t="shared" si="3"/>
        <v>46204</v>
      </c>
      <c r="C16" t="s">
        <v>23</v>
      </c>
      <c r="E16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M16" s="3">
        <v>46125</v>
      </c>
      <c r="N16">
        <f t="shared" si="1"/>
        <v>4</v>
      </c>
      <c r="O16">
        <f t="shared" si="2"/>
        <v>2026</v>
      </c>
    </row>
    <row r="17" spans="2:15" x14ac:dyDescent="0.25">
      <c r="B17" s="3">
        <f t="shared" si="3"/>
        <v>46204</v>
      </c>
      <c r="C17" t="s">
        <v>24</v>
      </c>
      <c r="E17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M17" s="3">
        <v>46126</v>
      </c>
      <c r="N17">
        <f t="shared" si="1"/>
        <v>4</v>
      </c>
      <c r="O17">
        <f t="shared" si="2"/>
        <v>2026</v>
      </c>
    </row>
    <row r="18" spans="2:15" ht="21" x14ac:dyDescent="0.55000000000000004">
      <c r="B18" s="3">
        <f t="shared" si="3"/>
        <v>46204</v>
      </c>
      <c r="C18" t="s">
        <v>32</v>
      </c>
      <c r="E18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H18" s="4"/>
      <c r="M18" s="3">
        <v>46127</v>
      </c>
      <c r="N18">
        <f t="shared" si="1"/>
        <v>4</v>
      </c>
      <c r="O18">
        <f t="shared" si="2"/>
        <v>2026</v>
      </c>
    </row>
    <row r="19" spans="2:15" ht="21" x14ac:dyDescent="0.55000000000000004">
      <c r="B19" s="3">
        <f t="shared" si="3"/>
        <v>46204</v>
      </c>
      <c r="C19" t="s">
        <v>25</v>
      </c>
      <c r="E19">
        <f>SUMIFS(Incomes_table[AMOUNT],Incomes_table[DATE], "&gt;="&amp;DATE(YEAR(Incomes_table[[#This Row],[DATE]]),MONTH(Incomes_table[[#This Row],[DATE]]),1),Incomes_table[DATE], "&lt;"&amp;DATE(YEAR(Incomes_table[[#This Row],[DATE]]),MONTH(Incomes_table[[#This Row],[DATE]])+1,1))</f>
        <v>0</v>
      </c>
      <c r="H19" s="4"/>
      <c r="M19" s="3">
        <v>46128</v>
      </c>
      <c r="N19">
        <f>MONTH(M19)</f>
        <v>4</v>
      </c>
      <c r="O19">
        <f t="shared" si="2"/>
        <v>2026</v>
      </c>
    </row>
    <row r="20" spans="2:15" ht="21" x14ac:dyDescent="0.55000000000000004">
      <c r="H20" s="4"/>
      <c r="M20" s="3">
        <v>46129</v>
      </c>
      <c r="N20">
        <f t="shared" si="1"/>
        <v>4</v>
      </c>
      <c r="O20">
        <f t="shared" si="2"/>
        <v>2026</v>
      </c>
    </row>
    <row r="21" spans="2:15" x14ac:dyDescent="0.25">
      <c r="M21" s="3">
        <v>46130</v>
      </c>
      <c r="N21">
        <f t="shared" si="1"/>
        <v>4</v>
      </c>
      <c r="O21">
        <f t="shared" si="2"/>
        <v>2026</v>
      </c>
    </row>
    <row r="22" spans="2:15" x14ac:dyDescent="0.25">
      <c r="M22" s="3">
        <v>46131</v>
      </c>
      <c r="N22">
        <f t="shared" si="1"/>
        <v>4</v>
      </c>
      <c r="O22">
        <f t="shared" si="2"/>
        <v>2026</v>
      </c>
    </row>
    <row r="23" spans="2:15" x14ac:dyDescent="0.25">
      <c r="M23" s="3">
        <v>46132</v>
      </c>
      <c r="N23">
        <f t="shared" si="1"/>
        <v>4</v>
      </c>
      <c r="O23">
        <f t="shared" si="2"/>
        <v>2026</v>
      </c>
    </row>
    <row r="24" spans="2:15" x14ac:dyDescent="0.25">
      <c r="M24" s="3">
        <v>46133</v>
      </c>
      <c r="N24">
        <f t="shared" si="1"/>
        <v>4</v>
      </c>
      <c r="O24">
        <f t="shared" si="2"/>
        <v>2026</v>
      </c>
    </row>
    <row r="25" spans="2:15" x14ac:dyDescent="0.25">
      <c r="M25" s="3">
        <v>46134</v>
      </c>
      <c r="N25">
        <f t="shared" si="1"/>
        <v>4</v>
      </c>
      <c r="O25">
        <f t="shared" si="2"/>
        <v>2026</v>
      </c>
    </row>
    <row r="26" spans="2:15" x14ac:dyDescent="0.25">
      <c r="M26" s="3">
        <v>46135</v>
      </c>
      <c r="N26">
        <f t="shared" si="1"/>
        <v>4</v>
      </c>
      <c r="O26">
        <f t="shared" si="2"/>
        <v>2026</v>
      </c>
    </row>
    <row r="27" spans="2:15" x14ac:dyDescent="0.25">
      <c r="M27" s="3">
        <v>46136</v>
      </c>
      <c r="N27">
        <f t="shared" si="1"/>
        <v>4</v>
      </c>
      <c r="O27">
        <f>YEAR(M27)</f>
        <v>2026</v>
      </c>
    </row>
    <row r="28" spans="2:15" x14ac:dyDescent="0.25">
      <c r="M28" s="3">
        <v>46137</v>
      </c>
      <c r="N28">
        <f t="shared" si="1"/>
        <v>4</v>
      </c>
      <c r="O28">
        <f t="shared" si="2"/>
        <v>2026</v>
      </c>
    </row>
    <row r="29" spans="2:15" x14ac:dyDescent="0.25">
      <c r="M29" s="3">
        <v>46138</v>
      </c>
      <c r="N29">
        <f t="shared" si="1"/>
        <v>4</v>
      </c>
      <c r="O29">
        <f t="shared" si="2"/>
        <v>2026</v>
      </c>
    </row>
    <row r="30" spans="2:15" x14ac:dyDescent="0.25">
      <c r="M30" s="3">
        <v>46139</v>
      </c>
      <c r="N30">
        <f t="shared" si="1"/>
        <v>4</v>
      </c>
      <c r="O30">
        <f t="shared" si="2"/>
        <v>2026</v>
      </c>
    </row>
    <row r="31" spans="2:15" x14ac:dyDescent="0.25">
      <c r="M31" s="3">
        <v>46140</v>
      </c>
      <c r="N31">
        <f t="shared" si="1"/>
        <v>4</v>
      </c>
      <c r="O31">
        <f t="shared" si="2"/>
        <v>2026</v>
      </c>
    </row>
    <row r="32" spans="2:15" x14ac:dyDescent="0.25">
      <c r="M32" s="3">
        <v>46141</v>
      </c>
      <c r="N32">
        <f t="shared" si="1"/>
        <v>4</v>
      </c>
      <c r="O32">
        <f t="shared" si="2"/>
        <v>2026</v>
      </c>
    </row>
    <row r="33" spans="13:15" x14ac:dyDescent="0.25">
      <c r="M33" s="3">
        <v>46142</v>
      </c>
      <c r="N33">
        <f t="shared" si="1"/>
        <v>4</v>
      </c>
      <c r="O33">
        <f t="shared" si="2"/>
        <v>2026</v>
      </c>
    </row>
    <row r="34" spans="13:15" x14ac:dyDescent="0.25">
      <c r="M34" s="3">
        <v>46143</v>
      </c>
      <c r="N34">
        <f>MONTH(M34)</f>
        <v>5</v>
      </c>
      <c r="O34">
        <f t="shared" si="2"/>
        <v>2026</v>
      </c>
    </row>
    <row r="35" spans="13:15" x14ac:dyDescent="0.25">
      <c r="M35" s="3">
        <v>46144</v>
      </c>
      <c r="N35">
        <f t="shared" si="1"/>
        <v>5</v>
      </c>
      <c r="O35">
        <f t="shared" si="2"/>
        <v>2026</v>
      </c>
    </row>
    <row r="36" spans="13:15" x14ac:dyDescent="0.25">
      <c r="M36" s="3">
        <v>46145</v>
      </c>
      <c r="N36">
        <f t="shared" si="1"/>
        <v>5</v>
      </c>
      <c r="O36">
        <f t="shared" si="2"/>
        <v>2026</v>
      </c>
    </row>
    <row r="37" spans="13:15" x14ac:dyDescent="0.25">
      <c r="M37" s="3">
        <v>46146</v>
      </c>
      <c r="N37">
        <f t="shared" si="1"/>
        <v>5</v>
      </c>
      <c r="O37">
        <f t="shared" si="2"/>
        <v>2026</v>
      </c>
    </row>
    <row r="38" spans="13:15" x14ac:dyDescent="0.25">
      <c r="M38" s="3">
        <v>46147</v>
      </c>
      <c r="N38">
        <f t="shared" si="1"/>
        <v>5</v>
      </c>
      <c r="O38">
        <f t="shared" si="2"/>
        <v>2026</v>
      </c>
    </row>
    <row r="39" spans="13:15" x14ac:dyDescent="0.25">
      <c r="M39" s="3">
        <v>46148</v>
      </c>
      <c r="N39">
        <f t="shared" si="1"/>
        <v>5</v>
      </c>
      <c r="O39">
        <f t="shared" si="2"/>
        <v>2026</v>
      </c>
    </row>
    <row r="40" spans="13:15" x14ac:dyDescent="0.25">
      <c r="M40" s="3">
        <v>46149</v>
      </c>
      <c r="N40">
        <f t="shared" si="1"/>
        <v>5</v>
      </c>
      <c r="O40">
        <f t="shared" si="2"/>
        <v>2026</v>
      </c>
    </row>
    <row r="41" spans="13:15" x14ac:dyDescent="0.25">
      <c r="M41" s="3">
        <v>46150</v>
      </c>
      <c r="N41">
        <f t="shared" si="1"/>
        <v>5</v>
      </c>
      <c r="O41">
        <f t="shared" si="2"/>
        <v>2026</v>
      </c>
    </row>
    <row r="42" spans="13:15" x14ac:dyDescent="0.25">
      <c r="M42" s="3">
        <v>46151</v>
      </c>
      <c r="N42">
        <f t="shared" si="1"/>
        <v>5</v>
      </c>
      <c r="O42">
        <f t="shared" si="2"/>
        <v>2026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7"/>
  <sheetViews>
    <sheetView workbookViewId="0">
      <selection activeCell="L11" sqref="L11"/>
    </sheetView>
  </sheetViews>
  <sheetFormatPr baseColWidth="10" defaultRowHeight="15" x14ac:dyDescent="0.25"/>
  <cols>
    <col min="2" max="2" width="13.7109375" customWidth="1"/>
    <col min="3" max="3" width="16.7109375" customWidth="1"/>
    <col min="4" max="4" width="11.5703125" customWidth="1"/>
    <col min="5" max="5" width="26.42578125" customWidth="1"/>
  </cols>
  <sheetData>
    <row r="1" spans="2:5" ht="28.5" customHeight="1" x14ac:dyDescent="0.25"/>
    <row r="2" spans="2:5" ht="24.75" customHeight="1" x14ac:dyDescent="0.25"/>
    <row r="3" spans="2:5" ht="18.75" customHeight="1" x14ac:dyDescent="0.25">
      <c r="B3" t="s">
        <v>7</v>
      </c>
      <c r="C3" t="s">
        <v>1</v>
      </c>
      <c r="D3" t="s">
        <v>8</v>
      </c>
      <c r="E3" t="s">
        <v>26</v>
      </c>
    </row>
    <row r="4" spans="2:5" x14ac:dyDescent="0.25">
      <c r="B4" s="3">
        <f>INDEX(Calendar_table[DATE],INT(((ROW()-ROW($B$4))/10))+1)</f>
        <v>46113</v>
      </c>
      <c r="C4" t="str">
        <f>INDEX(CATEGORIES_DIM[CATEGORY],MOD(ROW()-ROW($B$4),ROWS(CATEGORIES_DIM[CATEGORY]))+1)</f>
        <v>RENT/SERVICES</v>
      </c>
    </row>
    <row r="5" spans="2:5" x14ac:dyDescent="0.25">
      <c r="B5" s="3">
        <f>INDEX(Calendar_table[DATE],INT(((ROW()-ROW($B$4))/10))+1)</f>
        <v>46113</v>
      </c>
      <c r="C5" t="str">
        <f>INDEX(CATEGORIES_DIM[CATEGORY],MOD(ROW()-ROW($B$4),ROWS(CATEGORIES_DIM[CATEGORY]))+1)</f>
        <v>FOOD</v>
      </c>
    </row>
    <row r="6" spans="2:5" x14ac:dyDescent="0.25">
      <c r="B6" s="3">
        <f>INDEX(Calendar_table[DATE],INT(((ROW()-ROW($B$4))/10))+1)</f>
        <v>46113</v>
      </c>
      <c r="C6" t="str">
        <f>INDEX(CATEGORIES_DIM[CATEGORY],MOD(ROW()-ROW($B$4),ROWS(CATEGORIES_DIM[CATEGORY]))+1)</f>
        <v>ENTRETAIMENT</v>
      </c>
    </row>
    <row r="7" spans="2:5" x14ac:dyDescent="0.25">
      <c r="B7" s="3">
        <f>INDEX(Calendar_table[DATE],INT(((ROW()-ROW($B$4))/10))+1)</f>
        <v>46113</v>
      </c>
      <c r="C7" t="str">
        <f>INDEX(CATEGORIES_DIM[CATEGORY],MOD(ROW()-ROW($B$4),ROWS(CATEGORIES_DIM[CATEGORY]))+1)</f>
        <v>HEALTH</v>
      </c>
    </row>
    <row r="8" spans="2:5" x14ac:dyDescent="0.25">
      <c r="B8" s="3">
        <f>INDEX(Calendar_table[DATE],INT(((ROW()-ROW($B$4))/10))+1)</f>
        <v>46113</v>
      </c>
      <c r="C8" t="str">
        <f>INDEX(CATEGORIES_DIM[CATEGORY],MOD(ROW()-ROW($B$4),ROWS(CATEGORIES_DIM[CATEGORY]))+1)</f>
        <v>EDUCATION</v>
      </c>
    </row>
    <row r="9" spans="2:5" x14ac:dyDescent="0.25">
      <c r="B9" s="3">
        <f>INDEX(Calendar_table[DATE],INT(((ROW()-ROW($B$4))/10))+1)</f>
        <v>46113</v>
      </c>
      <c r="C9" t="str">
        <f>INDEX(CATEGORIES_DIM[CATEGORY],MOD(ROW(),4)+1)</f>
        <v>FOOD</v>
      </c>
    </row>
    <row r="10" spans="2:5" x14ac:dyDescent="0.25">
      <c r="B10" s="3">
        <f>INDEX(Calendar_table[DATE],INT(((ROW()-ROW($B$4))/10))+1)</f>
        <v>46113</v>
      </c>
      <c r="C10" t="str">
        <f>INDEX(CATEGORIES_DIM[CATEGORY],MOD(ROW()-ROW($B$4),ROWS(CATEGORIES_DIM[CATEGORY]))+1)</f>
        <v>EMERGENCIES</v>
      </c>
    </row>
    <row r="11" spans="2:5" x14ac:dyDescent="0.25">
      <c r="B11" s="3">
        <f>INDEX(Calendar_table[DATE],INT(((ROW()-ROW($B$4))/10))+1)</f>
        <v>46113</v>
      </c>
      <c r="C11" t="str">
        <f>INDEX(CATEGORIES_DIM[CATEGORY],MOD(ROW()-ROW($B$4),ROWS(CATEGORIES_DIM[CATEGORY]))+1)</f>
        <v>INVESMENT</v>
      </c>
    </row>
    <row r="12" spans="2:5" x14ac:dyDescent="0.25">
      <c r="B12" s="3">
        <f>INDEX(Calendar_table[DATE],INT(((ROW()-ROW($B$4))/10))+1)</f>
        <v>46113</v>
      </c>
      <c r="C12" t="str">
        <f>INDEX(CATEGORIES_DIM[CATEGORY],MOD(ROW()-ROW($B$4),ROWS(CATEGORIES_DIM[CATEGORY]))+1)</f>
        <v>WHIMS</v>
      </c>
    </row>
    <row r="13" spans="2:5" x14ac:dyDescent="0.25">
      <c r="B13" s="3">
        <f>INDEX(Calendar_table[DATE],INT(((ROW()-ROW($B$4))/10))+1)</f>
        <v>46113</v>
      </c>
      <c r="C13" t="str">
        <f>INDEX(CATEGORIES_DIM[CATEGORY],MOD(ROW()-ROW($B$4),ROWS(CATEGORIES_DIM[CATEGORY]))+1)</f>
        <v>GIFTS/CHARITY</v>
      </c>
    </row>
    <row r="14" spans="2:5" x14ac:dyDescent="0.25">
      <c r="B14" s="3">
        <f>INDEX(Calendar_table[DATE],INT(((ROW()-ROW($B$4))/10))+1)</f>
        <v>46114</v>
      </c>
      <c r="C14" t="str">
        <f>INDEX(CATEGORIES_DIM[CATEGORY],MOD(ROW()-ROW($B$4),ROWS(CATEGORIES_DIM[CATEGORY]))+1)</f>
        <v>RENT/SERVICES</v>
      </c>
    </row>
    <row r="15" spans="2:5" x14ac:dyDescent="0.25">
      <c r="B15" s="3">
        <f>INDEX(Calendar_table[DATE],INT(((ROW()-ROW($B$4))/10))+1)</f>
        <v>46114</v>
      </c>
      <c r="C15" t="str">
        <f>INDEX(CATEGORIES_DIM[CATEGORY],MOD(ROW()-ROW($B$4),ROWS(CATEGORIES_DIM[CATEGORY]))+1)</f>
        <v>FOOD</v>
      </c>
    </row>
    <row r="16" spans="2:5" x14ac:dyDescent="0.25">
      <c r="B16" s="3">
        <f>INDEX(Calendar_table[DATE],INT(((ROW()-ROW($B$4))/10))+1)</f>
        <v>46114</v>
      </c>
      <c r="C16" t="str">
        <f>INDEX(CATEGORIES_DIM[CATEGORY],MOD(ROW()-ROW($B$4),ROWS(CATEGORIES_DIM[CATEGORY]))+1)</f>
        <v>ENTRETAIMENT</v>
      </c>
    </row>
    <row r="17" spans="2:3" x14ac:dyDescent="0.25">
      <c r="B17" s="3">
        <f>INDEX(Calendar_table[DATE],INT(((ROW()-ROW($B$4))/10))+1)</f>
        <v>46114</v>
      </c>
      <c r="C17" t="str">
        <f>INDEX(CATEGORIES_DIM[CATEGORY],MOD(ROW()-ROW($B$4),ROWS(CATEGORIES_DIM[CATEGORY]))+1)</f>
        <v>HEALTH</v>
      </c>
    </row>
    <row r="18" spans="2:3" x14ac:dyDescent="0.25">
      <c r="B18" s="3">
        <f>INDEX(Calendar_table[DATE],INT(((ROW()-ROW($B$4))/10))+1)</f>
        <v>46114</v>
      </c>
      <c r="C18" t="str">
        <f>INDEX(CATEGORIES_DIM[CATEGORY],MOD(ROW()-ROW($B$4),ROWS(CATEGORIES_DIM[CATEGORY]))+1)</f>
        <v>EDUCATION</v>
      </c>
    </row>
    <row r="19" spans="2:3" x14ac:dyDescent="0.25">
      <c r="B19" s="3">
        <f>INDEX(Calendar_table[DATE],INT(((ROW()-ROW($B$4))/10))+1)</f>
        <v>46114</v>
      </c>
      <c r="C19" t="str">
        <f>INDEX(CATEGORIES_DIM[CATEGORY],MOD(ROW()-ROW($B$4),ROWS(CATEGORIES_DIM[CATEGORY]))+1)</f>
        <v>TRAVEL</v>
      </c>
    </row>
    <row r="20" spans="2:3" x14ac:dyDescent="0.25">
      <c r="B20" s="3">
        <f>INDEX(Calendar_table[DATE],INT(((ROW()-ROW($B$4))/10))+1)</f>
        <v>46114</v>
      </c>
      <c r="C20" t="str">
        <f>INDEX(CATEGORIES_DIM[CATEGORY],MOD(ROW()-ROW($B$4),ROWS(CATEGORIES_DIM[CATEGORY]))+1)</f>
        <v>EMERGENCIES</v>
      </c>
    </row>
    <row r="21" spans="2:3" x14ac:dyDescent="0.25">
      <c r="B21" s="3">
        <f>INDEX(Calendar_table[DATE],INT(((ROW()-ROW($B$4))/10))+1)</f>
        <v>46114</v>
      </c>
      <c r="C21" t="str">
        <f>INDEX(CATEGORIES_DIM[CATEGORY],MOD(ROW()-ROW($B$4),ROWS(CATEGORIES_DIM[CATEGORY]))+1)</f>
        <v>INVESMENT</v>
      </c>
    </row>
    <row r="22" spans="2:3" x14ac:dyDescent="0.25">
      <c r="B22" s="3">
        <f>INDEX(Calendar_table[DATE],INT(((ROW()-ROW($B$4))/10))+1)</f>
        <v>46114</v>
      </c>
      <c r="C22" t="str">
        <f>INDEX(CATEGORIES_DIM[CATEGORY],MOD(ROW()-ROW($B$4),ROWS(CATEGORIES_DIM[CATEGORY]))+1)</f>
        <v>WHIMS</v>
      </c>
    </row>
    <row r="23" spans="2:3" x14ac:dyDescent="0.25">
      <c r="B23" s="3">
        <f>INDEX(Calendar_table[DATE],INT(((ROW()-ROW($B$4))/10))+1)</f>
        <v>46114</v>
      </c>
      <c r="C23" t="str">
        <f>INDEX(CATEGORIES_DIM[CATEGORY],MOD(ROW()-ROW($B$4),ROWS(CATEGORIES_DIM[CATEGORY]))+1)</f>
        <v>GIFTS/CHARITY</v>
      </c>
    </row>
    <row r="24" spans="2:3" x14ac:dyDescent="0.25">
      <c r="B24" s="3">
        <f>INDEX(Calendar_table[DATE],INT(((ROW()-ROW($B$4))/10))+1)</f>
        <v>46115</v>
      </c>
      <c r="C24" t="str">
        <f>INDEX(CATEGORIES_DIM[CATEGORY],MOD(ROW()-ROW($B$4),ROWS(CATEGORIES_DIM[CATEGORY]))+1)</f>
        <v>RENT/SERVICES</v>
      </c>
    </row>
    <row r="25" spans="2:3" x14ac:dyDescent="0.25">
      <c r="B25" s="3">
        <f>INDEX(Calendar_table[DATE],INT(((ROW()-ROW($B$4))/10))+1)</f>
        <v>46115</v>
      </c>
      <c r="C25" t="str">
        <f>INDEX(CATEGORIES_DIM[CATEGORY],MOD(ROW()-ROW($B$4),ROWS(CATEGORIES_DIM[CATEGORY]))+1)</f>
        <v>FOOD</v>
      </c>
    </row>
    <row r="26" spans="2:3" x14ac:dyDescent="0.25">
      <c r="B26" s="3">
        <f>INDEX(Calendar_table[DATE],INT(((ROW()-ROW($B$4))/10))+1)</f>
        <v>46115</v>
      </c>
      <c r="C26" t="str">
        <f>INDEX(CATEGORIES_DIM[CATEGORY],MOD(ROW()-ROW($B$4),ROWS(CATEGORIES_DIM[CATEGORY]))+1)</f>
        <v>ENTRETAIMENT</v>
      </c>
    </row>
    <row r="27" spans="2:3" x14ac:dyDescent="0.25">
      <c r="B27" s="3">
        <f>INDEX(Calendar_table[DATE],INT(((ROW()-ROW($B$4))/10))+1)</f>
        <v>46115</v>
      </c>
      <c r="C27" t="str">
        <f>INDEX(CATEGORIES_DIM[CATEGORY],MOD(ROW()-ROW($B$4),ROWS(CATEGORIES_DIM[CATEGORY]))+1)</f>
        <v>HEALTH</v>
      </c>
    </row>
    <row r="28" spans="2:3" x14ac:dyDescent="0.25">
      <c r="B28" s="3">
        <f>INDEX(Calendar_table[DATE],INT(((ROW()-ROW($B$4))/10))+1)</f>
        <v>46115</v>
      </c>
      <c r="C28" t="str">
        <f>INDEX(CATEGORIES_DIM[CATEGORY],MOD(ROW()-ROW($B$4),ROWS(CATEGORIES_DIM[CATEGORY]))+1)</f>
        <v>EDUCATION</v>
      </c>
    </row>
    <row r="29" spans="2:3" x14ac:dyDescent="0.25">
      <c r="B29" s="3">
        <f>INDEX(Calendar_table[DATE],INT(((ROW()-ROW($B$4))/10))+1)</f>
        <v>46115</v>
      </c>
      <c r="C29" t="str">
        <f>INDEX(CATEGORIES_DIM[CATEGORY],MOD(ROW()-ROW($B$4),ROWS(CATEGORIES_DIM[CATEGORY]))+1)</f>
        <v>TRAVEL</v>
      </c>
    </row>
    <row r="30" spans="2:3" x14ac:dyDescent="0.25">
      <c r="B30" s="3">
        <f>INDEX(Calendar_table[DATE],INT(((ROW()-ROW($B$4))/10))+1)</f>
        <v>46115</v>
      </c>
      <c r="C30" t="str">
        <f>INDEX(CATEGORIES_DIM[CATEGORY],MOD(ROW()-ROW($B$4),ROWS(CATEGORIES_DIM[CATEGORY]))+1)</f>
        <v>EMERGENCIES</v>
      </c>
    </row>
    <row r="31" spans="2:3" x14ac:dyDescent="0.25">
      <c r="B31" s="3">
        <f>INDEX(Calendar_table[DATE],INT(((ROW()-ROW($B$4))/10))+1)</f>
        <v>46115</v>
      </c>
      <c r="C31" t="str">
        <f>INDEX(CATEGORIES_DIM[CATEGORY],MOD(ROW()-ROW($B$4),ROWS(CATEGORIES_DIM[CATEGORY]))+1)</f>
        <v>INVESMENT</v>
      </c>
    </row>
    <row r="32" spans="2:3" x14ac:dyDescent="0.25">
      <c r="B32" s="3">
        <f>INDEX(Calendar_table[DATE],INT(((ROW()-ROW($B$4))/10))+1)</f>
        <v>46115</v>
      </c>
      <c r="C32" t="str">
        <f>INDEX(CATEGORIES_DIM[CATEGORY],MOD(ROW()-ROW($B$4),ROWS(CATEGORIES_DIM[CATEGORY]))+1)</f>
        <v>WHIMS</v>
      </c>
    </row>
    <row r="33" spans="2:3" x14ac:dyDescent="0.25">
      <c r="B33" s="3">
        <f>INDEX(Calendar_table[DATE],INT(((ROW()-ROW($B$4))/10))+1)</f>
        <v>46115</v>
      </c>
      <c r="C33" t="str">
        <f>INDEX(CATEGORIES_DIM[CATEGORY],MOD(ROW()-ROW($B$4),ROWS(CATEGORIES_DIM[CATEGORY]))+1)</f>
        <v>GIFTS/CHARITY</v>
      </c>
    </row>
    <row r="34" spans="2:3" x14ac:dyDescent="0.25">
      <c r="B34" s="3">
        <f>INDEX(Calendar_table[DATE],INT(((ROW()-ROW($B$4))/10))+1)</f>
        <v>46116</v>
      </c>
      <c r="C34" t="str">
        <f>INDEX(CATEGORIES_DIM[CATEGORY],MOD(ROW()-ROW($B$4),ROWS(CATEGORIES_DIM[CATEGORY]))+1)</f>
        <v>RENT/SERVICES</v>
      </c>
    </row>
    <row r="35" spans="2:3" x14ac:dyDescent="0.25">
      <c r="B35" s="3">
        <f>INDEX(Calendar_table[DATE],INT(((ROW()-ROW($B$4))/10))+1)</f>
        <v>46116</v>
      </c>
      <c r="C35" t="str">
        <f>INDEX(CATEGORIES_DIM[CATEGORY],MOD(ROW()-ROW($B$4),ROWS(CATEGORIES_DIM[CATEGORY]))+1)</f>
        <v>FOOD</v>
      </c>
    </row>
    <row r="36" spans="2:3" x14ac:dyDescent="0.25">
      <c r="B36" s="3">
        <f>INDEX(Calendar_table[DATE],INT(((ROW()-ROW($B$4))/10))+1)</f>
        <v>46116</v>
      </c>
      <c r="C36" t="str">
        <f>INDEX(CATEGORIES_DIM[CATEGORY],MOD(ROW()-ROW($B$4),ROWS(CATEGORIES_DIM[CATEGORY]))+1)</f>
        <v>ENTRETAIMENT</v>
      </c>
    </row>
    <row r="37" spans="2:3" x14ac:dyDescent="0.25">
      <c r="B37" s="3">
        <f>INDEX(Calendar_table[DATE],INT(((ROW()-ROW($B$4))/10))+1)</f>
        <v>46116</v>
      </c>
      <c r="C37" t="str">
        <f>INDEX(CATEGORIES_DIM[CATEGORY],MOD(ROW()-ROW($B$4),ROWS(CATEGORIES_DIM[CATEGORY]))+1)</f>
        <v>HEALTH</v>
      </c>
    </row>
    <row r="38" spans="2:3" x14ac:dyDescent="0.25">
      <c r="B38" s="3">
        <f>INDEX(Calendar_table[DATE],INT(((ROW()-ROW($B$4))/10))+1)</f>
        <v>46116</v>
      </c>
      <c r="C38" t="str">
        <f>INDEX(CATEGORIES_DIM[CATEGORY],MOD(ROW()-ROW($B$4),ROWS(CATEGORIES_DIM[CATEGORY]))+1)</f>
        <v>EDUCATION</v>
      </c>
    </row>
    <row r="39" spans="2:3" x14ac:dyDescent="0.25">
      <c r="B39" s="3">
        <f>INDEX(Calendar_table[DATE],INT(((ROW()-ROW($B$4))/10))+1)</f>
        <v>46116</v>
      </c>
      <c r="C39" t="str">
        <f>INDEX(CATEGORIES_DIM[CATEGORY],MOD(ROW()-ROW($B$4),ROWS(CATEGORIES_DIM[CATEGORY]))+1)</f>
        <v>TRAVEL</v>
      </c>
    </row>
    <row r="40" spans="2:3" x14ac:dyDescent="0.25">
      <c r="B40" s="3">
        <f>INDEX(Calendar_table[DATE],INT(((ROW()-ROW($B$4))/10))+1)</f>
        <v>46116</v>
      </c>
      <c r="C40" t="str">
        <f>INDEX(CATEGORIES_DIM[CATEGORY],MOD(ROW()-ROW($B$4),ROWS(CATEGORIES_DIM[CATEGORY]))+1)</f>
        <v>EMERGENCIES</v>
      </c>
    </row>
    <row r="41" spans="2:3" x14ac:dyDescent="0.25">
      <c r="B41" s="3">
        <f>INDEX(Calendar_table[DATE],INT(((ROW()-ROW($B$4))/10))+1)</f>
        <v>46116</v>
      </c>
      <c r="C41" t="str">
        <f>INDEX(CATEGORIES_DIM[CATEGORY],MOD(ROW()-ROW($B$4),ROWS(CATEGORIES_DIM[CATEGORY]))+1)</f>
        <v>INVESMENT</v>
      </c>
    </row>
    <row r="42" spans="2:3" x14ac:dyDescent="0.25">
      <c r="B42" s="3">
        <f>INDEX(Calendar_table[DATE],INT(((ROW()-ROW($B$4))/10))+1)</f>
        <v>46116</v>
      </c>
      <c r="C42" t="str">
        <f>INDEX(CATEGORIES_DIM[CATEGORY],MOD(ROW()-ROW($B$4),ROWS(CATEGORIES_DIM[CATEGORY]))+1)</f>
        <v>WHIMS</v>
      </c>
    </row>
    <row r="43" spans="2:3" x14ac:dyDescent="0.25">
      <c r="B43" s="3">
        <f>INDEX(Calendar_table[DATE],INT(((ROW()-ROW($B$4))/10))+1)</f>
        <v>46116</v>
      </c>
      <c r="C43" t="str">
        <f>INDEX(CATEGORIES_DIM[CATEGORY],MOD(ROW()-ROW($B$4),ROWS(CATEGORIES_DIM[CATEGORY]))+1)</f>
        <v>GIFTS/CHARITY</v>
      </c>
    </row>
    <row r="44" spans="2:3" x14ac:dyDescent="0.25">
      <c r="B44" s="3">
        <f>INDEX(Calendar_table[DATE],INT(((ROW()-ROW($B$4))/10))+1)</f>
        <v>46117</v>
      </c>
      <c r="C44" t="str">
        <f>INDEX(CATEGORIES_DIM[CATEGORY],MOD(ROW()-ROW($B$4),ROWS(CATEGORIES_DIM[CATEGORY]))+1)</f>
        <v>RENT/SERVICES</v>
      </c>
    </row>
    <row r="45" spans="2:3" x14ac:dyDescent="0.25">
      <c r="B45" s="3">
        <f>INDEX(Calendar_table[DATE],INT(((ROW()-ROW($B$4))/10))+1)</f>
        <v>46117</v>
      </c>
      <c r="C45" t="str">
        <f>INDEX(CATEGORIES_DIM[CATEGORY],MOD(ROW()-ROW($B$4),ROWS(CATEGORIES_DIM[CATEGORY]))+1)</f>
        <v>FOOD</v>
      </c>
    </row>
    <row r="46" spans="2:3" x14ac:dyDescent="0.25">
      <c r="B46" s="3">
        <f>INDEX(Calendar_table[DATE],INT(((ROW()-ROW($B$4))/10))+1)</f>
        <v>46117</v>
      </c>
      <c r="C46" t="str">
        <f>INDEX(CATEGORIES_DIM[CATEGORY],MOD(ROW()-ROW($B$4),ROWS(CATEGORIES_DIM[CATEGORY]))+1)</f>
        <v>ENTRETAIMENT</v>
      </c>
    </row>
    <row r="47" spans="2:3" x14ac:dyDescent="0.25">
      <c r="B47" s="3">
        <f>INDEX(Calendar_table[DATE],INT(((ROW()-ROW($B$4))/10))+1)</f>
        <v>46117</v>
      </c>
      <c r="C47" t="str">
        <f>INDEX(CATEGORIES_DIM[CATEGORY],MOD(ROW()-ROW($B$4),ROWS(CATEGORIES_DIM[CATEGORY]))+1)</f>
        <v>HEALTH</v>
      </c>
    </row>
    <row r="48" spans="2:3" x14ac:dyDescent="0.25">
      <c r="B48" s="3">
        <f>INDEX(Calendar_table[DATE],INT(((ROW()-ROW($B$4))/10))+1)</f>
        <v>46117</v>
      </c>
      <c r="C48" t="str">
        <f>INDEX(CATEGORIES_DIM[CATEGORY],MOD(ROW()-ROW($B$4),ROWS(CATEGORIES_DIM[CATEGORY]))+1)</f>
        <v>EDUCATION</v>
      </c>
    </row>
    <row r="49" spans="2:3" x14ac:dyDescent="0.25">
      <c r="B49" s="3">
        <f>INDEX(Calendar_table[DATE],INT(((ROW()-ROW($B$4))/10))+1)</f>
        <v>46117</v>
      </c>
      <c r="C49" t="str">
        <f>INDEX(CATEGORIES_DIM[CATEGORY],MOD(ROW()-ROW($B$4),ROWS(CATEGORIES_DIM[CATEGORY]))+1)</f>
        <v>TRAVEL</v>
      </c>
    </row>
    <row r="50" spans="2:3" x14ac:dyDescent="0.25">
      <c r="B50" s="3">
        <f>INDEX(Calendar_table[DATE],INT(((ROW()-ROW($B$4))/10))+1)</f>
        <v>46117</v>
      </c>
      <c r="C50" t="str">
        <f>INDEX(CATEGORIES_DIM[CATEGORY],MOD(ROW()-ROW($B$4),ROWS(CATEGORIES_DIM[CATEGORY]))+1)</f>
        <v>EMERGENCIES</v>
      </c>
    </row>
    <row r="51" spans="2:3" x14ac:dyDescent="0.25">
      <c r="B51" s="3">
        <f>INDEX(Calendar_table[DATE],INT(((ROW()-ROW($B$4))/10))+1)</f>
        <v>46117</v>
      </c>
      <c r="C51" t="str">
        <f>INDEX(CATEGORIES_DIM[CATEGORY],MOD(ROW()-ROW($B$4),ROWS(CATEGORIES_DIM[CATEGORY]))+1)</f>
        <v>INVESMENT</v>
      </c>
    </row>
    <row r="52" spans="2:3" x14ac:dyDescent="0.25">
      <c r="B52" s="3">
        <f>INDEX(Calendar_table[DATE],INT(((ROW()-ROW($B$4))/10))+1)</f>
        <v>46117</v>
      </c>
      <c r="C52" t="str">
        <f>INDEX(CATEGORIES_DIM[CATEGORY],MOD(ROW()-ROW($B$4),ROWS(CATEGORIES_DIM[CATEGORY]))+1)</f>
        <v>WHIMS</v>
      </c>
    </row>
    <row r="53" spans="2:3" x14ac:dyDescent="0.25">
      <c r="B53" s="3">
        <f>INDEX(Calendar_table[DATE],INT(((ROW()-ROW($B$4))/10))+1)</f>
        <v>46117</v>
      </c>
      <c r="C53" t="str">
        <f>INDEX(CATEGORIES_DIM[CATEGORY],MOD(ROW()-ROW($B$4),ROWS(CATEGORIES_DIM[CATEGORY]))+1)</f>
        <v>GIFTS/CHARITY</v>
      </c>
    </row>
    <row r="54" spans="2:3" x14ac:dyDescent="0.25">
      <c r="B54" s="3">
        <f>INDEX(Calendar_table[DATE],INT(((ROW()-ROW($B$4))/10))+1)</f>
        <v>46118</v>
      </c>
      <c r="C54" t="str">
        <f>INDEX(CATEGORIES_DIM[CATEGORY],MOD(ROW()-ROW($B$4),ROWS(CATEGORIES_DIM[CATEGORY]))+1)</f>
        <v>RENT/SERVICES</v>
      </c>
    </row>
    <row r="55" spans="2:3" x14ac:dyDescent="0.25">
      <c r="B55" s="3">
        <f>INDEX(Calendar_table[DATE],INT(((ROW()-ROW($B$4))/10))+1)</f>
        <v>46118</v>
      </c>
      <c r="C55" t="str">
        <f>INDEX(CATEGORIES_DIM[CATEGORY],MOD(ROW()-ROW($B$4),ROWS(CATEGORIES_DIM[CATEGORY]))+1)</f>
        <v>FOOD</v>
      </c>
    </row>
    <row r="56" spans="2:3" x14ac:dyDescent="0.25">
      <c r="B56" s="3">
        <f>INDEX(Calendar_table[DATE],INT(((ROW()-ROW($B$4))/10))+1)</f>
        <v>46118</v>
      </c>
      <c r="C56" t="str">
        <f>INDEX(CATEGORIES_DIM[CATEGORY],MOD(ROW()-ROW($B$4),ROWS(CATEGORIES_DIM[CATEGORY]))+1)</f>
        <v>ENTRETAIMENT</v>
      </c>
    </row>
    <row r="57" spans="2:3" x14ac:dyDescent="0.25">
      <c r="B57" s="3">
        <f>INDEX(Calendar_table[DATE],INT(((ROW()-ROW($B$4))/10))+1)</f>
        <v>46118</v>
      </c>
      <c r="C57" t="str">
        <f>INDEX(CATEGORIES_DIM[CATEGORY],MOD(ROW()-ROW($B$4),ROWS(CATEGORIES_DIM[CATEGORY]))+1)</f>
        <v>HEALTH</v>
      </c>
    </row>
    <row r="58" spans="2:3" x14ac:dyDescent="0.25">
      <c r="B58" s="3">
        <f>INDEX(Calendar_table[DATE],INT(((ROW()-ROW($B$4))/10))+1)</f>
        <v>46118</v>
      </c>
      <c r="C58" t="str">
        <f>INDEX(CATEGORIES_DIM[CATEGORY],MOD(ROW()-ROW($B$4),ROWS(CATEGORIES_DIM[CATEGORY]))+1)</f>
        <v>EDUCATION</v>
      </c>
    </row>
    <row r="59" spans="2:3" x14ac:dyDescent="0.25">
      <c r="B59" s="3">
        <f>INDEX(Calendar_table[DATE],INT(((ROW()-ROW($B$4))/10))+1)</f>
        <v>46118</v>
      </c>
      <c r="C59" t="str">
        <f>INDEX(CATEGORIES_DIM[CATEGORY],MOD(ROW()-ROW($B$4),ROWS(CATEGORIES_DIM[CATEGORY]))+1)</f>
        <v>TRAVEL</v>
      </c>
    </row>
    <row r="60" spans="2:3" x14ac:dyDescent="0.25">
      <c r="B60" s="3">
        <f>INDEX(Calendar_table[DATE],INT(((ROW()-ROW($B$4))/10))+1)</f>
        <v>46118</v>
      </c>
      <c r="C60" t="str">
        <f>INDEX(CATEGORIES_DIM[CATEGORY],MOD(ROW()-ROW($B$4),ROWS(CATEGORIES_DIM[CATEGORY]))+1)</f>
        <v>EMERGENCIES</v>
      </c>
    </row>
    <row r="61" spans="2:3" x14ac:dyDescent="0.25">
      <c r="B61" s="3">
        <f>INDEX(Calendar_table[DATE],INT(((ROW()-ROW($B$4))/10))+1)</f>
        <v>46118</v>
      </c>
      <c r="C61" t="str">
        <f>INDEX(CATEGORIES_DIM[CATEGORY],MOD(ROW()-ROW($B$4),ROWS(CATEGORIES_DIM[CATEGORY]))+1)</f>
        <v>INVESMENT</v>
      </c>
    </row>
    <row r="62" spans="2:3" x14ac:dyDescent="0.25">
      <c r="B62" s="3">
        <f>INDEX(Calendar_table[DATE],INT(((ROW()-ROW($B$4))/10))+1)</f>
        <v>46118</v>
      </c>
      <c r="C62" t="str">
        <f>INDEX(CATEGORIES_DIM[CATEGORY],MOD(ROW()-ROW($B$4),ROWS(CATEGORIES_DIM[CATEGORY]))+1)</f>
        <v>WHIMS</v>
      </c>
    </row>
    <row r="63" spans="2:3" x14ac:dyDescent="0.25">
      <c r="B63" s="3">
        <f>INDEX(Calendar_table[DATE],INT(((ROW()-ROW($B$4))/10))+1)</f>
        <v>46118</v>
      </c>
      <c r="C63" t="str">
        <f>INDEX(CATEGORIES_DIM[CATEGORY],MOD(ROW()-ROW($B$4),ROWS(CATEGORIES_DIM[CATEGORY]))+1)</f>
        <v>GIFTS/CHARITY</v>
      </c>
    </row>
    <row r="64" spans="2:3" x14ac:dyDescent="0.25">
      <c r="B64" s="3">
        <f>INDEX(Calendar_table[DATE],INT(((ROW()-ROW($B$4))/10))+1)</f>
        <v>46119</v>
      </c>
      <c r="C64" t="str">
        <f>INDEX(CATEGORIES_DIM[CATEGORY],MOD(ROW()-ROW($B$4),ROWS(CATEGORIES_DIM[CATEGORY]))+1)</f>
        <v>RENT/SERVICES</v>
      </c>
    </row>
    <row r="65" spans="2:4" x14ac:dyDescent="0.25">
      <c r="B65" s="3">
        <f>INDEX(Calendar_table[DATE],INT(((ROW()-ROW($B$4))/10))+1)</f>
        <v>46119</v>
      </c>
      <c r="C65" t="str">
        <f>INDEX(CATEGORIES_DIM[CATEGORY],MOD(ROW()-ROW($B$4),ROWS(CATEGORIES_DIM[CATEGORY]))+1)</f>
        <v>FOOD</v>
      </c>
    </row>
    <row r="66" spans="2:4" x14ac:dyDescent="0.25">
      <c r="B66" s="3">
        <f>INDEX(Calendar_table[DATE],INT(((ROW()-ROW($B$4))/10))+1)</f>
        <v>46119</v>
      </c>
      <c r="C66" t="str">
        <f>INDEX(CATEGORIES_DIM[CATEGORY],MOD(ROW()-ROW($B$4),ROWS(CATEGORIES_DIM[CATEGORY]))+1)</f>
        <v>ENTRETAIMENT</v>
      </c>
    </row>
    <row r="67" spans="2:4" x14ac:dyDescent="0.25">
      <c r="B67" s="3">
        <f>INDEX(Calendar_table[DATE],INT(((ROW()-ROW($B$4))/10))+1)</f>
        <v>46119</v>
      </c>
      <c r="C67" t="str">
        <f>INDEX(CATEGORIES_DIM[CATEGORY],MOD(ROW()-ROW($B$4),ROWS(CATEGORIES_DIM[CATEGORY]))+1)</f>
        <v>HEALTH</v>
      </c>
    </row>
    <row r="68" spans="2:4" x14ac:dyDescent="0.25">
      <c r="B68" s="3">
        <f>INDEX(Calendar_table[DATE],INT(((ROW()-ROW($B$4))/10))+1)</f>
        <v>46119</v>
      </c>
      <c r="C68" t="str">
        <f>INDEX(CATEGORIES_DIM[CATEGORY],MOD(ROW()-ROW($B$4),ROWS(CATEGORIES_DIM[CATEGORY]))+1)</f>
        <v>EDUCATION</v>
      </c>
    </row>
    <row r="69" spans="2:4" x14ac:dyDescent="0.25">
      <c r="B69" s="3">
        <f>INDEX(Calendar_table[DATE],INT(((ROW()-ROW($B$4))/10))+1)</f>
        <v>46119</v>
      </c>
      <c r="C69" t="str">
        <f>INDEX(CATEGORIES_DIM[CATEGORY],MOD(ROW()-ROW($B$4),ROWS(CATEGORIES_DIM[CATEGORY]))+1)</f>
        <v>TRAVEL</v>
      </c>
    </row>
    <row r="70" spans="2:4" x14ac:dyDescent="0.25">
      <c r="B70" s="3">
        <f>INDEX(Calendar_table[DATE],INT(((ROW()-ROW($B$4))/10))+1)</f>
        <v>46119</v>
      </c>
      <c r="C70" t="str">
        <f>INDEX(CATEGORIES_DIM[CATEGORY],MOD(ROW()-ROW($B$4),ROWS(CATEGORIES_DIM[CATEGORY]))+1)</f>
        <v>EMERGENCIES</v>
      </c>
    </row>
    <row r="71" spans="2:4" x14ac:dyDescent="0.25">
      <c r="B71" s="3">
        <f>INDEX(Calendar_table[DATE],INT(((ROW()-ROW($B$4))/10))+1)</f>
        <v>46119</v>
      </c>
      <c r="C71" t="str">
        <f>INDEX(CATEGORIES_DIM[CATEGORY],MOD(ROW()-ROW($B$4),ROWS(CATEGORIES_DIM[CATEGORY]))+1)</f>
        <v>INVESMENT</v>
      </c>
    </row>
    <row r="72" spans="2:4" x14ac:dyDescent="0.25">
      <c r="B72" s="3">
        <f>INDEX(Calendar_table[DATE],INT(((ROW()-ROW($B$4))/10))+1)</f>
        <v>46119</v>
      </c>
      <c r="C72" t="str">
        <f>INDEX(CATEGORIES_DIM[CATEGORY],MOD(ROW()-ROW($B$4),ROWS(CATEGORIES_DIM[CATEGORY]))+1)</f>
        <v>WHIMS</v>
      </c>
    </row>
    <row r="73" spans="2:4" x14ac:dyDescent="0.25">
      <c r="B73" s="3">
        <f>INDEX(Calendar_table[DATE],INT(((ROW()-ROW($B$4))/10))+1)</f>
        <v>46119</v>
      </c>
      <c r="C73" t="str">
        <f>INDEX(CATEGORIES_DIM[CATEGORY],MOD(ROW()-ROW($B$4),ROWS(CATEGORIES_DIM[CATEGORY]))+1)</f>
        <v>GIFTS/CHARITY</v>
      </c>
    </row>
    <row r="74" spans="2:4" x14ac:dyDescent="0.25">
      <c r="B74" s="3">
        <f>INDEX(Calendar_table[DATE],INT(((ROW()-ROW($B$4))/10))+1)</f>
        <v>46120</v>
      </c>
      <c r="C74" t="str">
        <f>INDEX(CATEGORIES_DIM[CATEGORY],MOD(ROW()-ROW($B$4),ROWS(CATEGORIES_DIM[CATEGORY]))+1)</f>
        <v>RENT/SERVICES</v>
      </c>
    </row>
    <row r="75" spans="2:4" x14ac:dyDescent="0.25">
      <c r="B75" s="3">
        <f>INDEX(Calendar_table[DATE],INT(((ROW()-ROW($B$4))/10))+1)</f>
        <v>46120</v>
      </c>
      <c r="C75" t="str">
        <f>INDEX(CATEGORIES_DIM[CATEGORY],MOD(ROW()-ROW($B$4),ROWS(CATEGORIES_DIM[CATEGORY]))+1)</f>
        <v>FOOD</v>
      </c>
      <c r="D75">
        <v>100</v>
      </c>
    </row>
    <row r="76" spans="2:4" x14ac:dyDescent="0.25">
      <c r="B76" s="3">
        <f>INDEX(Calendar_table[DATE],INT(((ROW()-ROW($B$4))/10))+1)</f>
        <v>46120</v>
      </c>
      <c r="C76" t="str">
        <f>INDEX(CATEGORIES_DIM[CATEGORY],MOD(ROW()-ROW($B$4),ROWS(CATEGORIES_DIM[CATEGORY]))+1)</f>
        <v>ENTRETAIMENT</v>
      </c>
      <c r="D76">
        <v>80</v>
      </c>
    </row>
    <row r="77" spans="2:4" x14ac:dyDescent="0.25">
      <c r="B77" s="3">
        <f>INDEX(Calendar_table[DATE],INT(((ROW()-ROW($B$4))/10))+1)</f>
        <v>46120</v>
      </c>
      <c r="C77" t="str">
        <f>INDEX(CATEGORIES_DIM[CATEGORY],MOD(ROW()-ROW($B$4),ROWS(CATEGORIES_DIM[CATEGORY]))+1)</f>
        <v>HEALTH</v>
      </c>
    </row>
    <row r="78" spans="2:4" x14ac:dyDescent="0.25">
      <c r="B78" s="3">
        <f>INDEX(Calendar_table[DATE],INT(((ROW()-ROW($B$4))/10))+1)</f>
        <v>46120</v>
      </c>
      <c r="C78" t="str">
        <f>INDEX(CATEGORIES_DIM[CATEGORY],MOD(ROW()-ROW($B$4),ROWS(CATEGORIES_DIM[CATEGORY]))+1)</f>
        <v>EDUCATION</v>
      </c>
    </row>
    <row r="79" spans="2:4" x14ac:dyDescent="0.25">
      <c r="B79" s="3">
        <f>INDEX(Calendar_table[DATE],INT(((ROW()-ROW($B$4))/10))+1)</f>
        <v>46120</v>
      </c>
      <c r="C79" t="str">
        <f>INDEX(CATEGORIES_DIM[CATEGORY],MOD(ROW()-ROW($B$4),ROWS(CATEGORIES_DIM[CATEGORY]))+1)</f>
        <v>TRAVEL</v>
      </c>
    </row>
    <row r="80" spans="2:4" x14ac:dyDescent="0.25">
      <c r="B80" s="3">
        <f>INDEX(Calendar_table[DATE],INT(((ROW()-ROW($B$4))/10))+1)</f>
        <v>46120</v>
      </c>
      <c r="C80" t="str">
        <f>INDEX(CATEGORIES_DIM[CATEGORY],MOD(ROW()-ROW($B$4),ROWS(CATEGORIES_DIM[CATEGORY]))+1)</f>
        <v>EMERGENCIES</v>
      </c>
    </row>
    <row r="81" spans="2:5" x14ac:dyDescent="0.25">
      <c r="B81" s="3">
        <f>INDEX(Calendar_table[DATE],INT(((ROW()-ROW($B$4))/10))+1)</f>
        <v>46120</v>
      </c>
      <c r="C81" t="str">
        <f>INDEX(CATEGORIES_DIM[CATEGORY],MOD(ROW()-ROW($B$4),ROWS(CATEGORIES_DIM[CATEGORY]))+1)</f>
        <v>INVESMENT</v>
      </c>
    </row>
    <row r="82" spans="2:5" x14ac:dyDescent="0.25">
      <c r="B82" s="3">
        <f>INDEX(Calendar_table[DATE],INT(((ROW()-ROW($B$4))/10))+1)</f>
        <v>46120</v>
      </c>
      <c r="C82" t="str">
        <f>INDEX(CATEGORIES_DIM[CATEGORY],MOD(ROW()-ROW($B$4),ROWS(CATEGORIES_DIM[CATEGORY]))+1)</f>
        <v>WHIMS</v>
      </c>
    </row>
    <row r="83" spans="2:5" x14ac:dyDescent="0.25">
      <c r="B83" s="3">
        <f>INDEX(Calendar_table[DATE],INT(((ROW()-ROW($B$4))/10))+1)</f>
        <v>46120</v>
      </c>
      <c r="C83" t="str">
        <f>INDEX(CATEGORIES_DIM[CATEGORY],MOD(ROW()-ROW($B$4),ROWS(CATEGORIES_DIM[CATEGORY]))+1)</f>
        <v>GIFTS/CHARITY</v>
      </c>
      <c r="D83">
        <v>170</v>
      </c>
      <c r="E83" t="s">
        <v>34</v>
      </c>
    </row>
    <row r="84" spans="2:5" x14ac:dyDescent="0.25">
      <c r="B84" s="3">
        <f>INDEX(Calendar_table[DATE],INT(((ROW()-ROW($B$4))/10))+1)</f>
        <v>46121</v>
      </c>
      <c r="C84" t="str">
        <f>INDEX(CATEGORIES_DIM[CATEGORY],MOD(ROW()-ROW($B$4),ROWS(CATEGORIES_DIM[CATEGORY]))+1)</f>
        <v>RENT/SERVICES</v>
      </c>
    </row>
    <row r="85" spans="2:5" x14ac:dyDescent="0.25">
      <c r="B85" s="3">
        <f>INDEX(Calendar_table[DATE],INT(((ROW()-ROW($B$4))/10))+1)</f>
        <v>46121</v>
      </c>
      <c r="C85" t="str">
        <f>INDEX(CATEGORIES_DIM[CATEGORY],MOD(ROW()-ROW($B$4),ROWS(CATEGORIES_DIM[CATEGORY]))+1)</f>
        <v>FOOD</v>
      </c>
      <c r="D85">
        <v>470</v>
      </c>
    </row>
    <row r="86" spans="2:5" x14ac:dyDescent="0.25">
      <c r="B86" s="3">
        <f>INDEX(Calendar_table[DATE],INT(((ROW()-ROW($B$4))/10))+1)</f>
        <v>46121</v>
      </c>
      <c r="C86" t="str">
        <f>INDEX(CATEGORIES_DIM[CATEGORY],MOD(ROW()-ROW($B$4),ROWS(CATEGORIES_DIM[CATEGORY]))+1)</f>
        <v>ENTRETAIMENT</v>
      </c>
      <c r="D86">
        <v>35</v>
      </c>
    </row>
    <row r="87" spans="2:5" x14ac:dyDescent="0.25">
      <c r="B87" s="3">
        <f>INDEX(Calendar_table[DATE],INT(((ROW()-ROW($B$4))/10))+1)</f>
        <v>46121</v>
      </c>
      <c r="C87" t="str">
        <f>INDEX(CATEGORIES_DIM[CATEGORY],MOD(ROW()-ROW($B$4),ROWS(CATEGORIES_DIM[CATEGORY]))+1)</f>
        <v>HEALTH</v>
      </c>
    </row>
    <row r="88" spans="2:5" x14ac:dyDescent="0.25">
      <c r="B88" s="3">
        <f>INDEX(Calendar_table[DATE],INT(((ROW()-ROW($B$4))/10))+1)</f>
        <v>46121</v>
      </c>
      <c r="C88" t="str">
        <f>INDEX(CATEGORIES_DIM[CATEGORY],MOD(ROW()-ROW($B$4),ROWS(CATEGORIES_DIM[CATEGORY]))+1)</f>
        <v>EDUCATION</v>
      </c>
    </row>
    <row r="89" spans="2:5" x14ac:dyDescent="0.25">
      <c r="B89" s="3">
        <f>INDEX(Calendar_table[DATE],INT(((ROW()-ROW($B$4))/10))+1)</f>
        <v>46121</v>
      </c>
      <c r="C89" t="str">
        <f>INDEX(CATEGORIES_DIM[CATEGORY],MOD(ROW()-ROW($B$4),ROWS(CATEGORIES_DIM[CATEGORY]))+1)</f>
        <v>TRAVEL</v>
      </c>
    </row>
    <row r="90" spans="2:5" x14ac:dyDescent="0.25">
      <c r="B90" s="3">
        <f>INDEX(Calendar_table[DATE],INT(((ROW()-ROW($B$4))/10))+1)</f>
        <v>46121</v>
      </c>
      <c r="C90" t="str">
        <f>INDEX(CATEGORIES_DIM[CATEGORY],MOD(ROW()-ROW($B$4),ROWS(CATEGORIES_DIM[CATEGORY]))+1)</f>
        <v>EMERGENCIES</v>
      </c>
    </row>
    <row r="91" spans="2:5" x14ac:dyDescent="0.25">
      <c r="B91" s="3">
        <f>INDEX(Calendar_table[DATE],INT(((ROW()-ROW($B$4))/10))+1)</f>
        <v>46121</v>
      </c>
      <c r="C91" t="str">
        <f>INDEX(CATEGORIES_DIM[CATEGORY],MOD(ROW()-ROW($B$4),ROWS(CATEGORIES_DIM[CATEGORY]))+1)</f>
        <v>INVESMENT</v>
      </c>
    </row>
    <row r="92" spans="2:5" x14ac:dyDescent="0.25">
      <c r="B92" s="3">
        <f>INDEX(Calendar_table[DATE],INT(((ROW()-ROW($B$4))/10))+1)</f>
        <v>46121</v>
      </c>
      <c r="C92" t="str">
        <f>INDEX(CATEGORIES_DIM[CATEGORY],MOD(ROW()-ROW($B$4),ROWS(CATEGORIES_DIM[CATEGORY]))+1)</f>
        <v>WHIMS</v>
      </c>
    </row>
    <row r="93" spans="2:5" x14ac:dyDescent="0.25">
      <c r="B93" s="3">
        <f>INDEX(Calendar_table[DATE],INT(((ROW()-ROW($B$4))/10))+1)</f>
        <v>46121</v>
      </c>
      <c r="C93" t="str">
        <f>INDEX(CATEGORIES_DIM[CATEGORY],MOD(ROW()-ROW($B$4),ROWS(CATEGORIES_DIM[CATEGORY]))+1)</f>
        <v>GIFTS/CHARITY</v>
      </c>
    </row>
    <row r="94" spans="2:5" x14ac:dyDescent="0.25">
      <c r="B94" s="3">
        <f>INDEX(Calendar_table[DATE],INT(((ROW()-ROW($B$4))/10))+1)</f>
        <v>46122</v>
      </c>
      <c r="C94" t="str">
        <f>INDEX(CATEGORIES_DIM[CATEGORY],MOD(ROW()-ROW($B$4),ROWS(CATEGORIES_DIM[CATEGORY]))+1)</f>
        <v>RENT/SERVICES</v>
      </c>
      <c r="D94">
        <v>3000</v>
      </c>
    </row>
    <row r="95" spans="2:5" x14ac:dyDescent="0.25">
      <c r="B95" s="3">
        <f>INDEX(Calendar_table[DATE],INT(((ROW()-ROW($B$4))/10))+1)</f>
        <v>46122</v>
      </c>
      <c r="C95" t="str">
        <f>INDEX(CATEGORIES_DIM[CATEGORY],MOD(ROW()-ROW($B$4),ROWS(CATEGORIES_DIM[CATEGORY]))+1)</f>
        <v>FOOD</v>
      </c>
      <c r="D95">
        <v>370</v>
      </c>
    </row>
    <row r="96" spans="2:5" x14ac:dyDescent="0.25">
      <c r="B96" s="3">
        <f>INDEX(Calendar_table[DATE],INT(((ROW()-ROW($B$4))/10))+1)</f>
        <v>46122</v>
      </c>
      <c r="C96" t="str">
        <f>INDEX(CATEGORIES_DIM[CATEGORY],MOD(ROW()-ROW($B$4),ROWS(CATEGORIES_DIM[CATEGORY]))+1)</f>
        <v>ENTRETAIMENT</v>
      </c>
      <c r="D96">
        <v>40</v>
      </c>
    </row>
    <row r="97" spans="2:4" x14ac:dyDescent="0.25">
      <c r="B97" s="3">
        <f>INDEX(Calendar_table[DATE],INT(((ROW()-ROW($B$4))/10))+1)</f>
        <v>46122</v>
      </c>
      <c r="C97" t="str">
        <f>INDEX(CATEGORIES_DIM[CATEGORY],MOD(ROW()-ROW($B$4),ROWS(CATEGORIES_DIM[CATEGORY]))+1)</f>
        <v>HEALTH</v>
      </c>
    </row>
    <row r="98" spans="2:4" x14ac:dyDescent="0.25">
      <c r="B98" s="3">
        <f>INDEX(Calendar_table[DATE],INT(((ROW()-ROW($B$4))/10))+1)</f>
        <v>46122</v>
      </c>
      <c r="C98" t="str">
        <f>INDEX(CATEGORIES_DIM[CATEGORY],MOD(ROW()-ROW($B$4),ROWS(CATEGORIES_DIM[CATEGORY]))+1)</f>
        <v>EDUCATION</v>
      </c>
    </row>
    <row r="99" spans="2:4" x14ac:dyDescent="0.25">
      <c r="B99" s="3">
        <f>INDEX(Calendar_table[DATE],INT(((ROW()-ROW($B$4))/10))+1)</f>
        <v>46122</v>
      </c>
      <c r="C99" t="str">
        <f>INDEX(CATEGORIES_DIM[CATEGORY],MOD(ROW()-ROW($B$4),ROWS(CATEGORIES_DIM[CATEGORY]))+1)</f>
        <v>TRAVEL</v>
      </c>
    </row>
    <row r="100" spans="2:4" x14ac:dyDescent="0.25">
      <c r="B100" s="3">
        <f>INDEX(Calendar_table[DATE],INT(((ROW()-ROW($B$4))/10))+1)</f>
        <v>46122</v>
      </c>
      <c r="C100" t="str">
        <f>INDEX(CATEGORIES_DIM[CATEGORY],MOD(ROW()-ROW($B$4),ROWS(CATEGORIES_DIM[CATEGORY]))+1)</f>
        <v>EMERGENCIES</v>
      </c>
    </row>
    <row r="101" spans="2:4" x14ac:dyDescent="0.25">
      <c r="B101" s="3">
        <f>INDEX(Calendar_table[DATE],INT(((ROW()-ROW($B$4))/10))+1)</f>
        <v>46122</v>
      </c>
      <c r="C101" t="str">
        <f>INDEX(CATEGORIES_DIM[CATEGORY],MOD(ROW()-ROW($B$4),ROWS(CATEGORIES_DIM[CATEGORY]))+1)</f>
        <v>INVESMENT</v>
      </c>
    </row>
    <row r="102" spans="2:4" x14ac:dyDescent="0.25">
      <c r="B102" s="3">
        <f>INDEX(Calendar_table[DATE],INT(((ROW()-ROW($B$4))/10))+1)</f>
        <v>46122</v>
      </c>
      <c r="C102" t="str">
        <f>INDEX(CATEGORIES_DIM[CATEGORY],MOD(ROW()-ROW($B$4),ROWS(CATEGORIES_DIM[CATEGORY]))+1)</f>
        <v>WHIMS</v>
      </c>
    </row>
    <row r="103" spans="2:4" x14ac:dyDescent="0.25">
      <c r="B103" s="3">
        <f>INDEX(Calendar_table[DATE],INT(((ROW()-ROW($B$4))/10))+1)</f>
        <v>46122</v>
      </c>
      <c r="C103" t="str">
        <f>INDEX(CATEGORIES_DIM[CATEGORY],MOD(ROW()-ROW($B$4),ROWS(CATEGORIES_DIM[CATEGORY]))+1)</f>
        <v>GIFTS/CHARITY</v>
      </c>
    </row>
    <row r="104" spans="2:4" x14ac:dyDescent="0.25">
      <c r="B104" s="3">
        <f>INDEX(Calendar_table[DATE],INT(((ROW()-ROW($B$4))/10))+1)</f>
        <v>46123</v>
      </c>
      <c r="C104" t="str">
        <f>INDEX(CATEGORIES_DIM[CATEGORY],MOD(ROW()-ROW($B$4),ROWS(CATEGORIES_DIM[CATEGORY]))+1)</f>
        <v>RENT/SERVICES</v>
      </c>
    </row>
    <row r="105" spans="2:4" x14ac:dyDescent="0.25">
      <c r="B105" s="3">
        <f>INDEX(Calendar_table[DATE],INT(((ROW()-ROW($B$4))/10))+1)</f>
        <v>46123</v>
      </c>
      <c r="C105" t="str">
        <f>INDEX(CATEGORIES_DIM[CATEGORY],MOD(ROW()-ROW($B$4),ROWS(CATEGORIES_DIM[CATEGORY]))+1)</f>
        <v>FOOD</v>
      </c>
      <c r="D105">
        <v>325</v>
      </c>
    </row>
    <row r="106" spans="2:4" x14ac:dyDescent="0.25">
      <c r="B106" s="3">
        <f>INDEX(Calendar_table[DATE],INT(((ROW()-ROW($B$4))/10))+1)</f>
        <v>46123</v>
      </c>
      <c r="C106" t="str">
        <f>INDEX(CATEGORIES_DIM[CATEGORY],MOD(ROW()-ROW($B$4),ROWS(CATEGORIES_DIM[CATEGORY]))+1)</f>
        <v>ENTRETAIMENT</v>
      </c>
      <c r="D106">
        <v>100</v>
      </c>
    </row>
    <row r="107" spans="2:4" x14ac:dyDescent="0.25">
      <c r="B107" s="3">
        <f>INDEX(Calendar_table[DATE],INT(((ROW()-ROW($B$4))/10))+1)</f>
        <v>46123</v>
      </c>
      <c r="C107" t="str">
        <f>INDEX(CATEGORIES_DIM[CATEGORY],MOD(ROW()-ROW($B$4),ROWS(CATEGORIES_DIM[CATEGORY]))+1)</f>
        <v>HEALTH</v>
      </c>
      <c r="D107">
        <v>400</v>
      </c>
    </row>
    <row r="108" spans="2:4" x14ac:dyDescent="0.25">
      <c r="B108" s="3">
        <f>INDEX(Calendar_table[DATE],INT(((ROW()-ROW($B$4))/10))+1)</f>
        <v>46123</v>
      </c>
      <c r="C108" t="str">
        <f>INDEX(CATEGORIES_DIM[CATEGORY],MOD(ROW()-ROW($B$4),ROWS(CATEGORIES_DIM[CATEGORY]))+1)</f>
        <v>EDUCATION</v>
      </c>
    </row>
    <row r="109" spans="2:4" x14ac:dyDescent="0.25">
      <c r="B109" s="3">
        <f>INDEX(Calendar_table[DATE],INT(((ROW()-ROW($B$4))/10))+1)</f>
        <v>46123</v>
      </c>
      <c r="C109" t="str">
        <f>INDEX(CATEGORIES_DIM[CATEGORY],MOD(ROW()-ROW($B$4),ROWS(CATEGORIES_DIM[CATEGORY]))+1)</f>
        <v>TRAVEL</v>
      </c>
    </row>
    <row r="110" spans="2:4" x14ac:dyDescent="0.25">
      <c r="B110" s="3">
        <f>INDEX(Calendar_table[DATE],INT(((ROW()-ROW($B$4))/10))+1)</f>
        <v>46123</v>
      </c>
      <c r="C110" t="str">
        <f>INDEX(CATEGORIES_DIM[CATEGORY],MOD(ROW()-ROW($B$4),ROWS(CATEGORIES_DIM[CATEGORY]))+1)</f>
        <v>EMERGENCIES</v>
      </c>
    </row>
    <row r="111" spans="2:4" x14ac:dyDescent="0.25">
      <c r="B111" s="3">
        <f>INDEX(Calendar_table[DATE],INT(((ROW()-ROW($B$4))/10))+1)</f>
        <v>46123</v>
      </c>
      <c r="C111" t="str">
        <f>INDEX(CATEGORIES_DIM[CATEGORY],MOD(ROW()-ROW($B$4),ROWS(CATEGORIES_DIM[CATEGORY]))+1)</f>
        <v>INVESMENT</v>
      </c>
    </row>
    <row r="112" spans="2:4" x14ac:dyDescent="0.25">
      <c r="B112" s="3">
        <f>INDEX(Calendar_table[DATE],INT(((ROW()-ROW($B$4))/10))+1)</f>
        <v>46123</v>
      </c>
      <c r="C112" t="str">
        <f>INDEX(CATEGORIES_DIM[CATEGORY],MOD(ROW()-ROW($B$4),ROWS(CATEGORIES_DIM[CATEGORY]))+1)</f>
        <v>WHIMS</v>
      </c>
    </row>
    <row r="113" spans="2:4" x14ac:dyDescent="0.25">
      <c r="B113" s="3">
        <f>INDEX(Calendar_table[DATE],INT(((ROW()-ROW($B$4))/10))+1)</f>
        <v>46123</v>
      </c>
      <c r="C113" t="str">
        <f>INDEX(CATEGORIES_DIM[CATEGORY],MOD(ROW()-ROW($B$4),ROWS(CATEGORIES_DIM[CATEGORY]))+1)</f>
        <v>GIFTS/CHARITY</v>
      </c>
    </row>
    <row r="114" spans="2:4" x14ac:dyDescent="0.25">
      <c r="B114" s="3">
        <f>INDEX(Calendar_table[DATE],INT(((ROW()-ROW($B$4))/10))+1)</f>
        <v>46124</v>
      </c>
      <c r="C114" t="str">
        <f>INDEX(CATEGORIES_DIM[CATEGORY],MOD(ROW()-ROW($B$4),ROWS(CATEGORIES_DIM[CATEGORY]))+1)</f>
        <v>RENT/SERVICES</v>
      </c>
    </row>
    <row r="115" spans="2:4" x14ac:dyDescent="0.25">
      <c r="B115" s="3">
        <f>INDEX(Calendar_table[DATE],INT(((ROW()-ROW($B$4))/10))+1)</f>
        <v>46124</v>
      </c>
      <c r="C115" t="str">
        <f>INDEX(CATEGORIES_DIM[CATEGORY],MOD(ROW()-ROW($B$4),ROWS(CATEGORIES_DIM[CATEGORY]))+1)</f>
        <v>FOOD</v>
      </c>
      <c r="D115">
        <v>56</v>
      </c>
    </row>
    <row r="116" spans="2:4" x14ac:dyDescent="0.25">
      <c r="B116" s="3">
        <f>INDEX(Calendar_table[DATE],INT(((ROW()-ROW($B$4))/10))+1)</f>
        <v>46124</v>
      </c>
      <c r="C116" t="str">
        <f>INDEX(CATEGORIES_DIM[CATEGORY],MOD(ROW()-ROW($B$4),ROWS(CATEGORIES_DIM[CATEGORY]))+1)</f>
        <v>ENTRETAIMENT</v>
      </c>
      <c r="D116">
        <v>110</v>
      </c>
    </row>
    <row r="117" spans="2:4" x14ac:dyDescent="0.25">
      <c r="B117" s="3">
        <f>INDEX(Calendar_table[DATE],INT(((ROW()-ROW($B$4))/10))+1)</f>
        <v>46124</v>
      </c>
      <c r="C117" t="str">
        <f>INDEX(CATEGORIES_DIM[CATEGORY],MOD(ROW()-ROW($B$4),ROWS(CATEGORIES_DIM[CATEGORY]))+1)</f>
        <v>HEALTH</v>
      </c>
    </row>
    <row r="118" spans="2:4" x14ac:dyDescent="0.25">
      <c r="B118" s="3">
        <f>INDEX(Calendar_table[DATE],INT(((ROW()-ROW($B$4))/10))+1)</f>
        <v>46124</v>
      </c>
      <c r="C118" t="str">
        <f>INDEX(CATEGORIES_DIM[CATEGORY],MOD(ROW()-ROW($B$4),ROWS(CATEGORIES_DIM[CATEGORY]))+1)</f>
        <v>EDUCATION</v>
      </c>
    </row>
    <row r="119" spans="2:4" x14ac:dyDescent="0.25">
      <c r="B119" s="3">
        <f>INDEX(Calendar_table[DATE],INT(((ROW()-ROW($B$4))/10))+1)</f>
        <v>46124</v>
      </c>
      <c r="C119" t="str">
        <f>INDEX(CATEGORIES_DIM[CATEGORY],MOD(ROW()-ROW($B$4),ROWS(CATEGORIES_DIM[CATEGORY]))+1)</f>
        <v>TRAVEL</v>
      </c>
    </row>
    <row r="120" spans="2:4" x14ac:dyDescent="0.25">
      <c r="B120" s="3">
        <f>INDEX(Calendar_table[DATE],INT(((ROW()-ROW($B$4))/10))+1)</f>
        <v>46124</v>
      </c>
      <c r="C120" t="str">
        <f>INDEX(CATEGORIES_DIM[CATEGORY],MOD(ROW()-ROW($B$4),ROWS(CATEGORIES_DIM[CATEGORY]))+1)</f>
        <v>EMERGENCIES</v>
      </c>
    </row>
    <row r="121" spans="2:4" x14ac:dyDescent="0.25">
      <c r="B121" s="3">
        <f>INDEX(Calendar_table[DATE],INT(((ROW()-ROW($B$4))/10))+1)</f>
        <v>46124</v>
      </c>
      <c r="C121" t="str">
        <f>INDEX(CATEGORIES_DIM[CATEGORY],MOD(ROW()-ROW($B$4),ROWS(CATEGORIES_DIM[CATEGORY]))+1)</f>
        <v>INVESMENT</v>
      </c>
    </row>
    <row r="122" spans="2:4" x14ac:dyDescent="0.25">
      <c r="B122" s="3">
        <f>INDEX(Calendar_table[DATE],INT(((ROW()-ROW($B$4))/10))+1)</f>
        <v>46124</v>
      </c>
      <c r="C122" t="str">
        <f>INDEX(CATEGORIES_DIM[CATEGORY],MOD(ROW()-ROW($B$4),ROWS(CATEGORIES_DIM[CATEGORY]))+1)</f>
        <v>WHIMS</v>
      </c>
    </row>
    <row r="123" spans="2:4" x14ac:dyDescent="0.25">
      <c r="B123" s="3">
        <f>INDEX(Calendar_table[DATE],INT(((ROW()-ROW($B$4))/10))+1)</f>
        <v>46124</v>
      </c>
      <c r="C123" t="str">
        <f>INDEX(CATEGORIES_DIM[CATEGORY],MOD(ROW()-ROW($B$4),ROWS(CATEGORIES_DIM[CATEGORY]))+1)</f>
        <v>GIFTS/CHARITY</v>
      </c>
    </row>
    <row r="124" spans="2:4" x14ac:dyDescent="0.25">
      <c r="B124" s="3">
        <f>INDEX(Calendar_table[DATE],INT(((ROW()-ROW($B$4))/10))+1)</f>
        <v>46125</v>
      </c>
      <c r="C124" t="str">
        <f>INDEX(CATEGORIES_DIM[CATEGORY],MOD(ROW()-ROW($B$4),ROWS(CATEGORIES_DIM[CATEGORY]))+1)</f>
        <v>RENT/SERVICES</v>
      </c>
    </row>
    <row r="125" spans="2:4" x14ac:dyDescent="0.25">
      <c r="B125" s="3">
        <f>INDEX(Calendar_table[DATE],INT(((ROW()-ROW($B$4))/10))+1)</f>
        <v>46125</v>
      </c>
      <c r="C125" t="str">
        <f>INDEX(CATEGORIES_DIM[CATEGORY],MOD(ROW()-ROW($B$4),ROWS(CATEGORIES_DIM[CATEGORY]))+1)</f>
        <v>FOOD</v>
      </c>
      <c r="D125">
        <v>781</v>
      </c>
    </row>
    <row r="126" spans="2:4" x14ac:dyDescent="0.25">
      <c r="B126" s="3">
        <f>INDEX(Calendar_table[DATE],INT(((ROW()-ROW($B$4))/10))+1)</f>
        <v>46125</v>
      </c>
      <c r="C126" t="str">
        <f>INDEX(CATEGORIES_DIM[CATEGORY],MOD(ROW()-ROW($B$4),ROWS(CATEGORIES_DIM[CATEGORY]))+1)</f>
        <v>ENTRETAIMENT</v>
      </c>
    </row>
    <row r="127" spans="2:4" x14ac:dyDescent="0.25">
      <c r="B127" s="3">
        <f>INDEX(Calendar_table[DATE],INT(((ROW()-ROW($B$4))/10))+1)</f>
        <v>46125</v>
      </c>
      <c r="C127" t="str">
        <f>INDEX(CATEGORIES_DIM[CATEGORY],MOD(ROW()-ROW($B$4),ROWS(CATEGORIES_DIM[CATEGORY]))+1)</f>
        <v>HEALTH</v>
      </c>
    </row>
    <row r="128" spans="2:4" x14ac:dyDescent="0.25">
      <c r="B128" s="3">
        <f>INDEX(Calendar_table[DATE],INT(((ROW()-ROW($B$4))/10))+1)</f>
        <v>46125</v>
      </c>
      <c r="C128" t="str">
        <f>INDEX(CATEGORIES_DIM[CATEGORY],MOD(ROW()-ROW($B$4),ROWS(CATEGORIES_DIM[CATEGORY]))+1)</f>
        <v>EDUCATION</v>
      </c>
    </row>
    <row r="129" spans="2:5" x14ac:dyDescent="0.25">
      <c r="B129" s="3">
        <f>INDEX(Calendar_table[DATE],INT(((ROW()-ROW($B$4))/10))+1)</f>
        <v>46125</v>
      </c>
      <c r="C129" t="str">
        <f>INDEX(CATEGORIES_DIM[CATEGORY],MOD(ROW()-ROW($B$4),ROWS(CATEGORIES_DIM[CATEGORY]))+1)</f>
        <v>TRAVEL</v>
      </c>
    </row>
    <row r="130" spans="2:5" x14ac:dyDescent="0.25">
      <c r="B130" s="3">
        <f>INDEX(Calendar_table[DATE],INT(((ROW()-ROW($B$4))/10))+1)</f>
        <v>46125</v>
      </c>
      <c r="C130" t="str">
        <f>INDEX(CATEGORIES_DIM[CATEGORY],MOD(ROW()-ROW($B$4),ROWS(CATEGORIES_DIM[CATEGORY]))+1)</f>
        <v>EMERGENCIES</v>
      </c>
    </row>
    <row r="131" spans="2:5" x14ac:dyDescent="0.25">
      <c r="B131" s="3">
        <f>INDEX(Calendar_table[DATE],INT(((ROW()-ROW($B$4))/10))+1)</f>
        <v>46125</v>
      </c>
      <c r="C131" t="str">
        <f>INDEX(CATEGORIES_DIM[CATEGORY],MOD(ROW()-ROW($B$4),ROWS(CATEGORIES_DIM[CATEGORY]))+1)</f>
        <v>INVESMENT</v>
      </c>
    </row>
    <row r="132" spans="2:5" x14ac:dyDescent="0.25">
      <c r="B132" s="3">
        <f>INDEX(Calendar_table[DATE],INT(((ROW()-ROW($B$4))/10))+1)</f>
        <v>46125</v>
      </c>
      <c r="C132" t="str">
        <f>INDEX(CATEGORIES_DIM[CATEGORY],MOD(ROW()-ROW($B$4),ROWS(CATEGORIES_DIM[CATEGORY]))+1)</f>
        <v>WHIMS</v>
      </c>
    </row>
    <row r="133" spans="2:5" x14ac:dyDescent="0.25">
      <c r="B133" s="3">
        <f>INDEX(Calendar_table[DATE],INT(((ROW()-ROW($B$4))/10))+1)</f>
        <v>46125</v>
      </c>
      <c r="C133" t="str">
        <f>INDEX(CATEGORIES_DIM[CATEGORY],MOD(ROW()-ROW($B$4),ROWS(CATEGORIES_DIM[CATEGORY]))+1)</f>
        <v>GIFTS/CHARITY</v>
      </c>
    </row>
    <row r="134" spans="2:5" x14ac:dyDescent="0.25">
      <c r="B134" s="3">
        <f>INDEX(Calendar_table[DATE],INT(((ROW()-ROW($B$4))/10))+1)</f>
        <v>46126</v>
      </c>
      <c r="C134" t="str">
        <f>INDEX(CATEGORIES_DIM[CATEGORY],MOD(ROW()-ROW($B$4),ROWS(CATEGORIES_DIM[CATEGORY]))+1)</f>
        <v>RENT/SERVICES</v>
      </c>
    </row>
    <row r="135" spans="2:5" x14ac:dyDescent="0.25">
      <c r="B135" s="3">
        <f>INDEX(Calendar_table[DATE],INT(((ROW()-ROW($B$4))/10))+1)</f>
        <v>46126</v>
      </c>
      <c r="C135" t="str">
        <f>INDEX(CATEGORIES_DIM[CATEGORY],MOD(ROW()-ROW($B$4),ROWS(CATEGORIES_DIM[CATEGORY]))+1)</f>
        <v>FOOD</v>
      </c>
      <c r="D135">
        <v>15</v>
      </c>
    </row>
    <row r="136" spans="2:5" x14ac:dyDescent="0.25">
      <c r="B136" s="3">
        <f>INDEX(Calendar_table[DATE],INT(((ROW()-ROW($B$4))/10))+1)</f>
        <v>46126</v>
      </c>
      <c r="C136" t="str">
        <f>INDEX(CATEGORIES_DIM[CATEGORY],MOD(ROW()-ROW($B$4),ROWS(CATEGORIES_DIM[CATEGORY]))+1)</f>
        <v>ENTRETAIMENT</v>
      </c>
    </row>
    <row r="137" spans="2:5" x14ac:dyDescent="0.25">
      <c r="B137" s="3">
        <f>INDEX(Calendar_table[DATE],INT(((ROW()-ROW($B$4))/10))+1)</f>
        <v>46126</v>
      </c>
      <c r="C137" t="str">
        <f>INDEX(CATEGORIES_DIM[CATEGORY],MOD(ROW()-ROW($B$4),ROWS(CATEGORIES_DIM[CATEGORY]))+1)</f>
        <v>HEALTH</v>
      </c>
    </row>
    <row r="138" spans="2:5" x14ac:dyDescent="0.25">
      <c r="B138" s="3">
        <f>INDEX(Calendar_table[DATE],INT(((ROW()-ROW($B$4))/10))+1)</f>
        <v>46126</v>
      </c>
      <c r="C138" t="str">
        <f>INDEX(CATEGORIES_DIM[CATEGORY],MOD(ROW()-ROW($B$4),ROWS(CATEGORIES_DIM[CATEGORY]))+1)</f>
        <v>EDUCATION</v>
      </c>
    </row>
    <row r="139" spans="2:5" x14ac:dyDescent="0.25">
      <c r="B139" s="3">
        <f>INDEX(Calendar_table[DATE],INT(((ROW()-ROW($B$4))/10))+1)</f>
        <v>46126</v>
      </c>
      <c r="C139" t="str">
        <f>INDEX(CATEGORIES_DIM[CATEGORY],MOD(ROW()-ROW($B$4),ROWS(CATEGORIES_DIM[CATEGORY]))+1)</f>
        <v>TRAVEL</v>
      </c>
    </row>
    <row r="140" spans="2:5" x14ac:dyDescent="0.25">
      <c r="B140" s="3">
        <f>INDEX(Calendar_table[DATE],INT(((ROW()-ROW($B$4))/10))+1)</f>
        <v>46126</v>
      </c>
      <c r="C140" t="str">
        <f>INDEX(CATEGORIES_DIM[CATEGORY],MOD(ROW()-ROW($B$4),ROWS(CATEGORIES_DIM[CATEGORY]))+1)</f>
        <v>EMERGENCIES</v>
      </c>
    </row>
    <row r="141" spans="2:5" x14ac:dyDescent="0.25">
      <c r="B141" s="3">
        <f>INDEX(Calendar_table[DATE],INT(((ROW()-ROW($B$4))/10))+1)</f>
        <v>46126</v>
      </c>
      <c r="C141" t="str">
        <f>INDEX(CATEGORIES_DIM[CATEGORY],MOD(ROW()-ROW($B$4),ROWS(CATEGORIES_DIM[CATEGORY]))+1)</f>
        <v>INVESMENT</v>
      </c>
    </row>
    <row r="142" spans="2:5" x14ac:dyDescent="0.25">
      <c r="B142" s="3">
        <f>INDEX(Calendar_table[DATE],INT(((ROW()-ROW($B$4))/10))+1)</f>
        <v>46126</v>
      </c>
      <c r="C142" t="str">
        <f>INDEX(CATEGORIES_DIM[CATEGORY],MOD(ROW()-ROW($B$4),ROWS(CATEGORIES_DIM[CATEGORY]))+1)</f>
        <v>WHIMS</v>
      </c>
      <c r="D142">
        <v>700</v>
      </c>
      <c r="E142" t="s">
        <v>35</v>
      </c>
    </row>
    <row r="143" spans="2:5" x14ac:dyDescent="0.25">
      <c r="B143" s="3">
        <f>INDEX(Calendar_table[DATE],INT(((ROW()-ROW($B$4))/10))+1)</f>
        <v>46126</v>
      </c>
      <c r="C143" t="str">
        <f>INDEX(CATEGORIES_DIM[CATEGORY],MOD(ROW()-ROW($B$4),ROWS(CATEGORIES_DIM[CATEGORY]))+1)</f>
        <v>GIFTS/CHARITY</v>
      </c>
    </row>
    <row r="144" spans="2:5" x14ac:dyDescent="0.25">
      <c r="B144" s="3">
        <f>INDEX(Calendar_table[DATE],INT(((ROW()-ROW($B$4))/10))+1)</f>
        <v>46127</v>
      </c>
      <c r="C144" t="str">
        <f>INDEX(CATEGORIES_DIM[CATEGORY],MOD(ROW()-ROW($B$4),ROWS(CATEGORIES_DIM[CATEGORY]))+1)</f>
        <v>RENT/SERVICES</v>
      </c>
    </row>
    <row r="145" spans="2:4" x14ac:dyDescent="0.25">
      <c r="B145" s="3">
        <f>INDEX(Calendar_table[DATE],INT(((ROW()-ROW($B$4))/10))+1)</f>
        <v>46127</v>
      </c>
      <c r="C145" t="str">
        <f>INDEX(CATEGORIES_DIM[CATEGORY],MOD(ROW()-ROW($B$4),ROWS(CATEGORIES_DIM[CATEGORY]))+1)</f>
        <v>FOOD</v>
      </c>
      <c r="D145">
        <v>80</v>
      </c>
    </row>
    <row r="146" spans="2:4" x14ac:dyDescent="0.25">
      <c r="B146" s="3">
        <f>INDEX(Calendar_table[DATE],INT(((ROW()-ROW($B$4))/10))+1)</f>
        <v>46127</v>
      </c>
      <c r="C146" t="str">
        <f>INDEX(CATEGORIES_DIM[CATEGORY],MOD(ROW()-ROW($B$4),ROWS(CATEGORIES_DIM[CATEGORY]))+1)</f>
        <v>ENTRETAIMENT</v>
      </c>
      <c r="D146">
        <v>260</v>
      </c>
    </row>
    <row r="147" spans="2:4" x14ac:dyDescent="0.25">
      <c r="B147" s="3">
        <f>INDEX(Calendar_table[DATE],INT(((ROW()-ROW($B$4))/10))+1)</f>
        <v>46127</v>
      </c>
      <c r="C147" t="str">
        <f>INDEX(CATEGORIES_DIM[CATEGORY],MOD(ROW()-ROW($B$4),ROWS(CATEGORIES_DIM[CATEGORY]))+1)</f>
        <v>HEALTH</v>
      </c>
    </row>
    <row r="148" spans="2:4" x14ac:dyDescent="0.25">
      <c r="B148" s="3">
        <f>INDEX(Calendar_table[DATE],INT(((ROW()-ROW($B$4))/10))+1)</f>
        <v>46127</v>
      </c>
      <c r="C148" t="str">
        <f>INDEX(CATEGORIES_DIM[CATEGORY],MOD(ROW()-ROW($B$4),ROWS(CATEGORIES_DIM[CATEGORY]))+1)</f>
        <v>EDUCATION</v>
      </c>
    </row>
    <row r="149" spans="2:4" x14ac:dyDescent="0.25">
      <c r="B149" s="3">
        <f>INDEX(Calendar_table[DATE],INT(((ROW()-ROW($B$4))/10))+1)</f>
        <v>46127</v>
      </c>
      <c r="C149" t="str">
        <f>INDEX(CATEGORIES_DIM[CATEGORY],MOD(ROW()-ROW($B$4),ROWS(CATEGORIES_DIM[CATEGORY]))+1)</f>
        <v>TRAVEL</v>
      </c>
    </row>
    <row r="150" spans="2:4" x14ac:dyDescent="0.25">
      <c r="B150" s="3">
        <f>INDEX(Calendar_table[DATE],INT(((ROW()-ROW($B$4))/10))+1)</f>
        <v>46127</v>
      </c>
      <c r="C150" t="str">
        <f>INDEX(CATEGORIES_DIM[CATEGORY],MOD(ROW()-ROW($B$4),ROWS(CATEGORIES_DIM[CATEGORY]))+1)</f>
        <v>EMERGENCIES</v>
      </c>
    </row>
    <row r="151" spans="2:4" x14ac:dyDescent="0.25">
      <c r="B151" s="3">
        <f>INDEX(Calendar_table[DATE],INT(((ROW()-ROW($B$4))/10))+1)</f>
        <v>46127</v>
      </c>
      <c r="C151" t="str">
        <f>INDEX(CATEGORIES_DIM[CATEGORY],MOD(ROW()-ROW($B$4),ROWS(CATEGORIES_DIM[CATEGORY]))+1)</f>
        <v>INVESMENT</v>
      </c>
    </row>
    <row r="152" spans="2:4" x14ac:dyDescent="0.25">
      <c r="B152" s="3">
        <f>INDEX(Calendar_table[DATE],INT(((ROW()-ROW($B$4))/10))+1)</f>
        <v>46127</v>
      </c>
      <c r="C152" t="str">
        <f>INDEX(CATEGORIES_DIM[CATEGORY],MOD(ROW()-ROW($B$4),ROWS(CATEGORIES_DIM[CATEGORY]))+1)</f>
        <v>WHIMS</v>
      </c>
    </row>
    <row r="153" spans="2:4" x14ac:dyDescent="0.25">
      <c r="B153" s="3">
        <f>INDEX(Calendar_table[DATE],INT(((ROW()-ROW($B$4))/10))+1)</f>
        <v>46127</v>
      </c>
      <c r="C153" t="str">
        <f>INDEX(CATEGORIES_DIM[CATEGORY],MOD(ROW()-ROW($B$4),ROWS(CATEGORIES_DIM[CATEGORY]))+1)</f>
        <v>GIFTS/CHARITY</v>
      </c>
    </row>
    <row r="154" spans="2:4" x14ac:dyDescent="0.25">
      <c r="B154" s="3">
        <f>INDEX(Calendar_table[DATE],INT(((ROW()-ROW($B$4))/10))+1)</f>
        <v>46128</v>
      </c>
      <c r="C154" t="str">
        <f>INDEX(CATEGORIES_DIM[CATEGORY],MOD(ROW()-ROW($B$4),ROWS(CATEGORIES_DIM[CATEGORY]))+1)</f>
        <v>RENT/SERVICES</v>
      </c>
    </row>
    <row r="155" spans="2:4" x14ac:dyDescent="0.25">
      <c r="B155" s="3">
        <f>INDEX(Calendar_table[DATE],INT(((ROW()-ROW($B$4))/10))+1)</f>
        <v>46128</v>
      </c>
      <c r="C155" t="str">
        <f>INDEX(CATEGORIES_DIM[CATEGORY],MOD(ROW()-ROW($B$4),ROWS(CATEGORIES_DIM[CATEGORY]))+1)</f>
        <v>FOOD</v>
      </c>
    </row>
    <row r="156" spans="2:4" x14ac:dyDescent="0.25">
      <c r="B156" s="3">
        <f>INDEX(Calendar_table[DATE],INT(((ROW()-ROW($B$4))/10))+1)</f>
        <v>46128</v>
      </c>
      <c r="C156" t="str">
        <f>INDEX(CATEGORIES_DIM[CATEGORY],MOD(ROW()-ROW($B$4),ROWS(CATEGORIES_DIM[CATEGORY]))+1)</f>
        <v>ENTRETAIMENT</v>
      </c>
    </row>
    <row r="157" spans="2:4" x14ac:dyDescent="0.25">
      <c r="B157" s="3">
        <f>INDEX(Calendar_table[DATE],INT(((ROW()-ROW($B$4))/10))+1)</f>
        <v>46128</v>
      </c>
      <c r="C157" t="str">
        <f>INDEX(CATEGORIES_DIM[CATEGORY],MOD(ROW()-ROW($B$4),ROWS(CATEGORIES_DIM[CATEGORY]))+1)</f>
        <v>HEALTH</v>
      </c>
    </row>
    <row r="158" spans="2:4" x14ac:dyDescent="0.25">
      <c r="B158" s="3">
        <f>INDEX(Calendar_table[DATE],INT(((ROW()-ROW($B$4))/10))+1)</f>
        <v>46128</v>
      </c>
      <c r="C158" t="str">
        <f>INDEX(CATEGORIES_DIM[CATEGORY],MOD(ROW()-ROW($B$4),ROWS(CATEGORIES_DIM[CATEGORY]))+1)</f>
        <v>EDUCATION</v>
      </c>
    </row>
    <row r="159" spans="2:4" x14ac:dyDescent="0.25">
      <c r="B159" s="3">
        <f>INDEX(Calendar_table[DATE],INT(((ROW()-ROW($B$4))/10))+1)</f>
        <v>46128</v>
      </c>
      <c r="C159" t="str">
        <f>INDEX(CATEGORIES_DIM[CATEGORY],MOD(ROW()-ROW($B$4),ROWS(CATEGORIES_DIM[CATEGORY]))+1)</f>
        <v>TRAVEL</v>
      </c>
    </row>
    <row r="160" spans="2:4" x14ac:dyDescent="0.25">
      <c r="B160" s="3">
        <f>INDEX(Calendar_table[DATE],INT(((ROW()-ROW($B$4))/10))+1)</f>
        <v>46128</v>
      </c>
      <c r="C160" t="str">
        <f>INDEX(CATEGORIES_DIM[CATEGORY],MOD(ROW()-ROW($B$4),ROWS(CATEGORIES_DIM[CATEGORY]))+1)</f>
        <v>EMERGENCIES</v>
      </c>
    </row>
    <row r="161" spans="2:5" x14ac:dyDescent="0.25">
      <c r="B161" s="3">
        <f>INDEX(Calendar_table[DATE],INT(((ROW()-ROW($B$4))/10))+1)</f>
        <v>46128</v>
      </c>
      <c r="C161" t="str">
        <f>INDEX(CATEGORIES_DIM[CATEGORY],MOD(ROW()-ROW($B$4),ROWS(CATEGORIES_DIM[CATEGORY]))+1)</f>
        <v>INVESMENT</v>
      </c>
    </row>
    <row r="162" spans="2:5" x14ac:dyDescent="0.25">
      <c r="B162" s="3">
        <f>INDEX(Calendar_table[DATE],INT(((ROW()-ROW($B$4))/10))+1)</f>
        <v>46128</v>
      </c>
      <c r="C162" t="str">
        <f>INDEX(CATEGORIES_DIM[CATEGORY],MOD(ROW()-ROW($B$4),ROWS(CATEGORIES_DIM[CATEGORY]))+1)</f>
        <v>WHIMS</v>
      </c>
      <c r="D162">
        <v>1100</v>
      </c>
      <c r="E162" t="s">
        <v>36</v>
      </c>
    </row>
    <row r="163" spans="2:5" x14ac:dyDescent="0.25">
      <c r="B163" s="3">
        <f>INDEX(Calendar_table[DATE],INT(((ROW()-ROW($B$4))/10))+1)</f>
        <v>46128</v>
      </c>
      <c r="C163" t="str">
        <f>INDEX(CATEGORIES_DIM[CATEGORY],MOD(ROW()-ROW($B$4),ROWS(CATEGORIES_DIM[CATEGORY]))+1)</f>
        <v>GIFTS/CHARITY</v>
      </c>
      <c r="D163">
        <v>250</v>
      </c>
      <c r="E163" t="s">
        <v>37</v>
      </c>
    </row>
    <row r="164" spans="2:5" x14ac:dyDescent="0.25">
      <c r="B164" s="3">
        <f>INDEX(Calendar_table[DATE],INT(((ROW()-ROW($B$4))/10))+1)</f>
        <v>46129</v>
      </c>
      <c r="C164" t="str">
        <f>INDEX(CATEGORIES_DIM[CATEGORY],MOD(ROW()-ROW($B$4),ROWS(CATEGORIES_DIM[CATEGORY]))+1)</f>
        <v>RENT/SERVICES</v>
      </c>
    </row>
    <row r="165" spans="2:5" x14ac:dyDescent="0.25">
      <c r="B165" s="3">
        <f>INDEX(Calendar_table[DATE],INT(((ROW()-ROW($B$4))/10))+1)</f>
        <v>46129</v>
      </c>
      <c r="C165" t="str">
        <f>INDEX(CATEGORIES_DIM[CATEGORY],MOD(ROW()-ROW($B$4),ROWS(CATEGORIES_DIM[CATEGORY]))+1)</f>
        <v>FOOD</v>
      </c>
    </row>
    <row r="166" spans="2:5" x14ac:dyDescent="0.25">
      <c r="B166" s="3">
        <f>INDEX(Calendar_table[DATE],INT(((ROW()-ROW($B$4))/10))+1)</f>
        <v>46129</v>
      </c>
      <c r="C166" t="str">
        <f>INDEX(CATEGORIES_DIM[CATEGORY],MOD(ROW()-ROW($B$4),ROWS(CATEGORIES_DIM[CATEGORY]))+1)</f>
        <v>ENTRETAIMENT</v>
      </c>
      <c r="D166">
        <v>295</v>
      </c>
    </row>
    <row r="167" spans="2:5" x14ac:dyDescent="0.25">
      <c r="B167" s="3">
        <f>INDEX(Calendar_table[DATE],INT(((ROW()-ROW($B$4))/10))+1)</f>
        <v>46129</v>
      </c>
      <c r="C167" t="str">
        <f>INDEX(CATEGORIES_DIM[CATEGORY],MOD(ROW()-ROW($B$4),ROWS(CATEGORIES_DIM[CATEGORY]))+1)</f>
        <v>HEALTH</v>
      </c>
    </row>
    <row r="168" spans="2:5" x14ac:dyDescent="0.25">
      <c r="B168" s="3">
        <f>INDEX(Calendar_table[DATE],INT(((ROW()-ROW($B$4))/10))+1)</f>
        <v>46129</v>
      </c>
      <c r="C168" t="str">
        <f>INDEX(CATEGORIES_DIM[CATEGORY],MOD(ROW()-ROW($B$4),ROWS(CATEGORIES_DIM[CATEGORY]))+1)</f>
        <v>EDUCATION</v>
      </c>
    </row>
    <row r="169" spans="2:5" x14ac:dyDescent="0.25">
      <c r="B169" s="3">
        <f>INDEX(Calendar_table[DATE],INT(((ROW()-ROW($B$4))/10))+1)</f>
        <v>46129</v>
      </c>
      <c r="C169" t="str">
        <f>INDEX(CATEGORIES_DIM[CATEGORY],MOD(ROW()-ROW($B$4),ROWS(CATEGORIES_DIM[CATEGORY]))+1)</f>
        <v>TRAVEL</v>
      </c>
    </row>
    <row r="170" spans="2:5" x14ac:dyDescent="0.25">
      <c r="B170" s="3">
        <f>INDEX(Calendar_table[DATE],INT(((ROW()-ROW($B$4))/10))+1)</f>
        <v>46129</v>
      </c>
      <c r="C170" t="str">
        <f>INDEX(CATEGORIES_DIM[CATEGORY],MOD(ROW()-ROW($B$4),ROWS(CATEGORIES_DIM[CATEGORY]))+1)</f>
        <v>EMERGENCIES</v>
      </c>
    </row>
    <row r="171" spans="2:5" x14ac:dyDescent="0.25">
      <c r="B171" s="3">
        <f>INDEX(Calendar_table[DATE],INT(((ROW()-ROW($B$4))/10))+1)</f>
        <v>46129</v>
      </c>
      <c r="C171" t="str">
        <f>INDEX(CATEGORIES_DIM[CATEGORY],MOD(ROW()-ROW($B$4),ROWS(CATEGORIES_DIM[CATEGORY]))+1)</f>
        <v>INVESMENT</v>
      </c>
    </row>
    <row r="172" spans="2:5" x14ac:dyDescent="0.25">
      <c r="B172" s="3">
        <f>INDEX(Calendar_table[DATE],INT(((ROW()-ROW($B$4))/10))+1)</f>
        <v>46129</v>
      </c>
      <c r="C172" t="str">
        <f>INDEX(CATEGORIES_DIM[CATEGORY],MOD(ROW()-ROW($B$4),ROWS(CATEGORIES_DIM[CATEGORY]))+1)</f>
        <v>WHIMS</v>
      </c>
    </row>
    <row r="173" spans="2:5" x14ac:dyDescent="0.25">
      <c r="B173" s="3">
        <f>INDEX(Calendar_table[DATE],INT(((ROW()-ROW($B$4))/10))+1)</f>
        <v>46129</v>
      </c>
      <c r="C173" t="str">
        <f>INDEX(CATEGORIES_DIM[CATEGORY],MOD(ROW()-ROW($B$4),ROWS(CATEGORIES_DIM[CATEGORY]))+1)</f>
        <v>GIFTS/CHARITY</v>
      </c>
    </row>
    <row r="174" spans="2:5" x14ac:dyDescent="0.25">
      <c r="B174" s="3">
        <f>INDEX(Calendar_table[DATE],INT(((ROW()-ROW($B$4))/10))+1)</f>
        <v>46130</v>
      </c>
      <c r="C174" t="str">
        <f>INDEX(CATEGORIES_DIM[CATEGORY],MOD(ROW()-ROW($B$4),ROWS(CATEGORIES_DIM[CATEGORY]))+1)</f>
        <v>RENT/SERVICES</v>
      </c>
    </row>
    <row r="175" spans="2:5" x14ac:dyDescent="0.25">
      <c r="B175" s="3">
        <f>INDEX(Calendar_table[DATE],INT(((ROW()-ROW($B$4))/10))+1)</f>
        <v>46130</v>
      </c>
      <c r="C175" t="str">
        <f>INDEX(CATEGORIES_DIM[CATEGORY],MOD(ROW()-ROW($B$4),ROWS(CATEGORIES_DIM[CATEGORY]))+1)</f>
        <v>FOOD</v>
      </c>
    </row>
    <row r="176" spans="2:5" x14ac:dyDescent="0.25">
      <c r="B176" s="3">
        <f>INDEX(Calendar_table[DATE],INT(((ROW()-ROW($B$4))/10))+1)</f>
        <v>46130</v>
      </c>
      <c r="C176" t="str">
        <f>INDEX(CATEGORIES_DIM[CATEGORY],MOD(ROW()-ROW($B$4),ROWS(CATEGORIES_DIM[CATEGORY]))+1)</f>
        <v>ENTRETAIMENT</v>
      </c>
      <c r="D176">
        <v>160</v>
      </c>
    </row>
    <row r="177" spans="2:4" x14ac:dyDescent="0.25">
      <c r="B177" s="3">
        <f>INDEX(Calendar_table[DATE],INT(((ROW()-ROW($B$4))/10))+1)</f>
        <v>46130</v>
      </c>
      <c r="C177" t="str">
        <f>INDEX(CATEGORIES_DIM[CATEGORY],MOD(ROW()-ROW($B$4),ROWS(CATEGORIES_DIM[CATEGORY]))+1)</f>
        <v>HEALTH</v>
      </c>
    </row>
    <row r="178" spans="2:4" x14ac:dyDescent="0.25">
      <c r="B178" s="3">
        <f>INDEX(Calendar_table[DATE],INT(((ROW()-ROW($B$4))/10))+1)</f>
        <v>46130</v>
      </c>
      <c r="C178" t="str">
        <f>INDEX(CATEGORIES_DIM[CATEGORY],MOD(ROW()-ROW($B$4),ROWS(CATEGORIES_DIM[CATEGORY]))+1)</f>
        <v>EDUCATION</v>
      </c>
    </row>
    <row r="179" spans="2:4" x14ac:dyDescent="0.25">
      <c r="B179" s="3">
        <f>INDEX(Calendar_table[DATE],INT(((ROW()-ROW($B$4))/10))+1)</f>
        <v>46130</v>
      </c>
      <c r="C179" t="str">
        <f>INDEX(CATEGORIES_DIM[CATEGORY],MOD(ROW()-ROW($B$4),ROWS(CATEGORIES_DIM[CATEGORY]))+1)</f>
        <v>TRAVEL</v>
      </c>
    </row>
    <row r="180" spans="2:4" x14ac:dyDescent="0.25">
      <c r="B180" s="3">
        <f>INDEX(Calendar_table[DATE],INT(((ROW()-ROW($B$4))/10))+1)</f>
        <v>46130</v>
      </c>
      <c r="C180" t="str">
        <f>INDEX(CATEGORIES_DIM[CATEGORY],MOD(ROW()-ROW($B$4),ROWS(CATEGORIES_DIM[CATEGORY]))+1)</f>
        <v>EMERGENCIES</v>
      </c>
    </row>
    <row r="181" spans="2:4" x14ac:dyDescent="0.25">
      <c r="B181" s="3">
        <f>INDEX(Calendar_table[DATE],INT(((ROW()-ROW($B$4))/10))+1)</f>
        <v>46130</v>
      </c>
      <c r="C181" t="str">
        <f>INDEX(CATEGORIES_DIM[CATEGORY],MOD(ROW()-ROW($B$4),ROWS(CATEGORIES_DIM[CATEGORY]))+1)</f>
        <v>INVESMENT</v>
      </c>
    </row>
    <row r="182" spans="2:4" x14ac:dyDescent="0.25">
      <c r="B182" s="3">
        <f>INDEX(Calendar_table[DATE],INT(((ROW()-ROW($B$4))/10))+1)</f>
        <v>46130</v>
      </c>
      <c r="C182" t="str">
        <f>INDEX(CATEGORIES_DIM[CATEGORY],MOD(ROW()-ROW($B$4),ROWS(CATEGORIES_DIM[CATEGORY]))+1)</f>
        <v>WHIMS</v>
      </c>
    </row>
    <row r="183" spans="2:4" x14ac:dyDescent="0.25">
      <c r="B183" s="3">
        <f>INDEX(Calendar_table[DATE],INT(((ROW()-ROW($B$4))/10))+1)</f>
        <v>46130</v>
      </c>
      <c r="C183" t="str">
        <f>INDEX(CATEGORIES_DIM[CATEGORY],MOD(ROW()-ROW($B$4),ROWS(CATEGORIES_DIM[CATEGORY]))+1)</f>
        <v>GIFTS/CHARITY</v>
      </c>
    </row>
    <row r="184" spans="2:4" x14ac:dyDescent="0.25">
      <c r="B184" s="3">
        <f>INDEX(Calendar_table[DATE],INT(((ROW()-ROW($B$4))/10))+1)</f>
        <v>46131</v>
      </c>
      <c r="C184" t="str">
        <f>INDEX(CATEGORIES_DIM[CATEGORY],MOD(ROW()-ROW($B$4),ROWS(CATEGORIES_DIM[CATEGORY]))+1)</f>
        <v>RENT/SERVICES</v>
      </c>
    </row>
    <row r="185" spans="2:4" x14ac:dyDescent="0.25">
      <c r="B185" s="3">
        <f>INDEX(Calendar_table[DATE],INT(((ROW()-ROW($B$4))/10))+1)</f>
        <v>46131</v>
      </c>
      <c r="C185" t="str">
        <f>INDEX(CATEGORIES_DIM[CATEGORY],MOD(ROW()-ROW($B$4),ROWS(CATEGORIES_DIM[CATEGORY]))+1)</f>
        <v>FOOD</v>
      </c>
    </row>
    <row r="186" spans="2:4" x14ac:dyDescent="0.25">
      <c r="B186" s="3">
        <f>INDEX(Calendar_table[DATE],INT(((ROW()-ROW($B$4))/10))+1)</f>
        <v>46131</v>
      </c>
      <c r="C186" t="str">
        <f>INDEX(CATEGORIES_DIM[CATEGORY],MOD(ROW()-ROW($B$4),ROWS(CATEGORIES_DIM[CATEGORY]))+1)</f>
        <v>ENTRETAIMENT</v>
      </c>
      <c r="D186">
        <v>190</v>
      </c>
    </row>
    <row r="187" spans="2:4" x14ac:dyDescent="0.25">
      <c r="B187" s="3">
        <f>INDEX(Calendar_table[DATE],INT(((ROW()-ROW($B$4))/10))+1)</f>
        <v>46131</v>
      </c>
      <c r="C187" t="str">
        <f>INDEX(CATEGORIES_DIM[CATEGORY],MOD(ROW()-ROW($B$4),ROWS(CATEGORIES_DIM[CATEGORY]))+1)</f>
        <v>HEALTH</v>
      </c>
    </row>
    <row r="188" spans="2:4" x14ac:dyDescent="0.25">
      <c r="B188" s="3">
        <f>INDEX(Calendar_table[DATE],INT(((ROW()-ROW($B$4))/10))+1)</f>
        <v>46131</v>
      </c>
      <c r="C188" t="str">
        <f>INDEX(CATEGORIES_DIM[CATEGORY],MOD(ROW()-ROW($B$4),ROWS(CATEGORIES_DIM[CATEGORY]))+1)</f>
        <v>EDUCATION</v>
      </c>
    </row>
    <row r="189" spans="2:4" x14ac:dyDescent="0.25">
      <c r="B189" s="3">
        <f>INDEX(Calendar_table[DATE],INT(((ROW()-ROW($B$4))/10))+1)</f>
        <v>46131</v>
      </c>
      <c r="C189" t="str">
        <f>INDEX(CATEGORIES_DIM[CATEGORY],MOD(ROW()-ROW($B$4),ROWS(CATEGORIES_DIM[CATEGORY]))+1)</f>
        <v>TRAVEL</v>
      </c>
    </row>
    <row r="190" spans="2:4" x14ac:dyDescent="0.25">
      <c r="B190" s="3">
        <f>INDEX(Calendar_table[DATE],INT(((ROW()-ROW($B$4))/10))+1)</f>
        <v>46131</v>
      </c>
      <c r="C190" t="str">
        <f>INDEX(CATEGORIES_DIM[CATEGORY],MOD(ROW()-ROW($B$4),ROWS(CATEGORIES_DIM[CATEGORY]))+1)</f>
        <v>EMERGENCIES</v>
      </c>
    </row>
    <row r="191" spans="2:4" x14ac:dyDescent="0.25">
      <c r="B191" s="3">
        <f>INDEX(Calendar_table[DATE],INT(((ROW()-ROW($B$4))/10))+1)</f>
        <v>46131</v>
      </c>
      <c r="C191" t="str">
        <f>INDEX(CATEGORIES_DIM[CATEGORY],MOD(ROW()-ROW($B$4),ROWS(CATEGORIES_DIM[CATEGORY]))+1)</f>
        <v>INVESMENT</v>
      </c>
    </row>
    <row r="192" spans="2:4" x14ac:dyDescent="0.25">
      <c r="B192" s="3">
        <f>INDEX(Calendar_table[DATE],INT(((ROW()-ROW($B$4))/10))+1)</f>
        <v>46131</v>
      </c>
      <c r="C192" t="str">
        <f>INDEX(CATEGORIES_DIM[CATEGORY],MOD(ROW()-ROW($B$4),ROWS(CATEGORIES_DIM[CATEGORY]))+1)</f>
        <v>WHIMS</v>
      </c>
    </row>
    <row r="193" spans="2:4" x14ac:dyDescent="0.25">
      <c r="B193" s="3">
        <f>INDEX(Calendar_table[DATE],INT(((ROW()-ROW($B$4))/10))+1)</f>
        <v>46131</v>
      </c>
      <c r="C193" t="str">
        <f>INDEX(CATEGORIES_DIM[CATEGORY],MOD(ROW()-ROW($B$4),ROWS(CATEGORIES_DIM[CATEGORY]))+1)</f>
        <v>GIFTS/CHARITY</v>
      </c>
    </row>
    <row r="194" spans="2:4" x14ac:dyDescent="0.25">
      <c r="B194" s="3">
        <f>INDEX(Calendar_table[DATE],INT(((ROW()-ROW($B$4))/10))+1)</f>
        <v>46132</v>
      </c>
      <c r="C194" t="str">
        <f>INDEX(CATEGORIES_DIM[CATEGORY],MOD(ROW()-ROW($B$4),ROWS(CATEGORIES_DIM[CATEGORY]))+1)</f>
        <v>RENT/SERVICES</v>
      </c>
    </row>
    <row r="195" spans="2:4" x14ac:dyDescent="0.25">
      <c r="B195" s="3">
        <f>INDEX(Calendar_table[DATE],INT(((ROW()-ROW($B$4))/10))+1)</f>
        <v>46132</v>
      </c>
      <c r="C195" t="str">
        <f>INDEX(CATEGORIES_DIM[CATEGORY],MOD(ROW()-ROW($B$4),ROWS(CATEGORIES_DIM[CATEGORY]))+1)</f>
        <v>FOOD</v>
      </c>
    </row>
    <row r="196" spans="2:4" x14ac:dyDescent="0.25">
      <c r="B196" s="3">
        <f>INDEX(Calendar_table[DATE],INT(((ROW()-ROW($B$4))/10))+1)</f>
        <v>46132</v>
      </c>
      <c r="C196" t="str">
        <f>INDEX(CATEGORIES_DIM[CATEGORY],MOD(ROW()-ROW($B$4),ROWS(CATEGORIES_DIM[CATEGORY]))+1)</f>
        <v>ENTRETAIMENT</v>
      </c>
      <c r="D196">
        <v>339</v>
      </c>
    </row>
    <row r="197" spans="2:4" x14ac:dyDescent="0.25">
      <c r="B197" s="3">
        <f>INDEX(Calendar_table[DATE],INT(((ROW()-ROW($B$4))/10))+1)</f>
        <v>46132</v>
      </c>
      <c r="C197" t="str">
        <f>INDEX(CATEGORIES_DIM[CATEGORY],MOD(ROW()-ROW($B$4),ROWS(CATEGORIES_DIM[CATEGORY]))+1)</f>
        <v>HEALTH</v>
      </c>
    </row>
    <row r="198" spans="2:4" x14ac:dyDescent="0.25">
      <c r="B198" s="3">
        <f>INDEX(Calendar_table[DATE],INT(((ROW()-ROW($B$4))/10))+1)</f>
        <v>46132</v>
      </c>
      <c r="C198" t="str">
        <f>INDEX(CATEGORIES_DIM[CATEGORY],MOD(ROW()-ROW($B$4),ROWS(CATEGORIES_DIM[CATEGORY]))+1)</f>
        <v>EDUCATION</v>
      </c>
    </row>
    <row r="199" spans="2:4" x14ac:dyDescent="0.25">
      <c r="B199" s="3">
        <f>INDEX(Calendar_table[DATE],INT(((ROW()-ROW($B$4))/10))+1)</f>
        <v>46132</v>
      </c>
      <c r="C199" t="str">
        <f>INDEX(CATEGORIES_DIM[CATEGORY],MOD(ROW()-ROW($B$4),ROWS(CATEGORIES_DIM[CATEGORY]))+1)</f>
        <v>TRAVEL</v>
      </c>
    </row>
    <row r="200" spans="2:4" x14ac:dyDescent="0.25">
      <c r="B200" s="3">
        <f>INDEX(Calendar_table[DATE],INT(((ROW()-ROW($B$4))/10))+1)</f>
        <v>46132</v>
      </c>
      <c r="C200" t="str">
        <f>INDEX(CATEGORIES_DIM[CATEGORY],MOD(ROW()-ROW($B$4),ROWS(CATEGORIES_DIM[CATEGORY]))+1)</f>
        <v>EMERGENCIES</v>
      </c>
    </row>
    <row r="201" spans="2:4" x14ac:dyDescent="0.25">
      <c r="B201" s="3">
        <f>INDEX(Calendar_table[DATE],INT(((ROW()-ROW($B$4))/10))+1)</f>
        <v>46132</v>
      </c>
      <c r="C201" t="str">
        <f>INDEX(CATEGORIES_DIM[CATEGORY],MOD(ROW()-ROW($B$4),ROWS(CATEGORIES_DIM[CATEGORY]))+1)</f>
        <v>INVESMENT</v>
      </c>
    </row>
    <row r="202" spans="2:4" x14ac:dyDescent="0.25">
      <c r="B202" s="3">
        <f>INDEX(Calendar_table[DATE],INT(((ROW()-ROW($B$4))/10))+1)</f>
        <v>46132</v>
      </c>
      <c r="C202" t="str">
        <f>INDEX(CATEGORIES_DIM[CATEGORY],MOD(ROW()-ROW($B$4),ROWS(CATEGORIES_DIM[CATEGORY]))+1)</f>
        <v>WHIMS</v>
      </c>
    </row>
    <row r="203" spans="2:4" x14ac:dyDescent="0.25">
      <c r="B203" s="3">
        <f>INDEX(Calendar_table[DATE],INT(((ROW()-ROW($B$4))/10))+1)</f>
        <v>46132</v>
      </c>
      <c r="C203" t="str">
        <f>INDEX(CATEGORIES_DIM[CATEGORY],MOD(ROW()-ROW($B$4),ROWS(CATEGORIES_DIM[CATEGORY]))+1)</f>
        <v>GIFTS/CHARITY</v>
      </c>
    </row>
    <row r="204" spans="2:4" x14ac:dyDescent="0.25">
      <c r="B204" s="3">
        <f>INDEX(Calendar_table[DATE],INT(((ROW()-ROW($B$4))/10))+1)</f>
        <v>46133</v>
      </c>
      <c r="C204" t="str">
        <f>INDEX(CATEGORIES_DIM[CATEGORY],MOD(ROW()-ROW($B$4),ROWS(CATEGORIES_DIM[CATEGORY]))+1)</f>
        <v>RENT/SERVICES</v>
      </c>
    </row>
    <row r="205" spans="2:4" x14ac:dyDescent="0.25">
      <c r="B205" s="3">
        <f>INDEX(Calendar_table[DATE],INT(((ROW()-ROW($B$4))/10))+1)</f>
        <v>46133</v>
      </c>
      <c r="C205" t="str">
        <f>INDEX(CATEGORIES_DIM[CATEGORY],MOD(ROW()-ROW($B$4),ROWS(CATEGORIES_DIM[CATEGORY]))+1)</f>
        <v>FOOD</v>
      </c>
      <c r="D205">
        <v>85</v>
      </c>
    </row>
    <row r="206" spans="2:4" x14ac:dyDescent="0.25">
      <c r="B206" s="3">
        <f>INDEX(Calendar_table[DATE],INT(((ROW()-ROW($B$4))/10))+1)</f>
        <v>46133</v>
      </c>
      <c r="C206" t="str">
        <f>INDEX(CATEGORIES_DIM[CATEGORY],MOD(ROW()-ROW($B$4),ROWS(CATEGORIES_DIM[CATEGORY]))+1)</f>
        <v>ENTRETAIMENT</v>
      </c>
    </row>
    <row r="207" spans="2:4" x14ac:dyDescent="0.25">
      <c r="B207" s="3">
        <f>INDEX(Calendar_table[DATE],INT(((ROW()-ROW($B$4))/10))+1)</f>
        <v>46133</v>
      </c>
      <c r="C207" t="str">
        <f>INDEX(CATEGORIES_DIM[CATEGORY],MOD(ROW()-ROW($B$4),ROWS(CATEGORIES_DIM[CATEGORY]))+1)</f>
        <v>HEALTH</v>
      </c>
    </row>
    <row r="208" spans="2:4" x14ac:dyDescent="0.25">
      <c r="B208" s="3">
        <f>INDEX(Calendar_table[DATE],INT(((ROW()-ROW($B$4))/10))+1)</f>
        <v>46133</v>
      </c>
      <c r="C208" t="str">
        <f>INDEX(CATEGORIES_DIM[CATEGORY],MOD(ROW()-ROW($B$4),ROWS(CATEGORIES_DIM[CATEGORY]))+1)</f>
        <v>EDUCATION</v>
      </c>
    </row>
    <row r="209" spans="2:4" x14ac:dyDescent="0.25">
      <c r="B209" s="3">
        <f>INDEX(Calendar_table[DATE],INT(((ROW()-ROW($B$4))/10))+1)</f>
        <v>46133</v>
      </c>
      <c r="C209" t="str">
        <f>INDEX(CATEGORIES_DIM[CATEGORY],MOD(ROW()-ROW($B$4),ROWS(CATEGORIES_DIM[CATEGORY]))+1)</f>
        <v>TRAVEL</v>
      </c>
    </row>
    <row r="210" spans="2:4" x14ac:dyDescent="0.25">
      <c r="B210" s="3">
        <f>INDEX(Calendar_table[DATE],INT(((ROW()-ROW($B$4))/10))+1)</f>
        <v>46133</v>
      </c>
      <c r="C210" t="str">
        <f>INDEX(CATEGORIES_DIM[CATEGORY],MOD(ROW()-ROW($B$4),ROWS(CATEGORIES_DIM[CATEGORY]))+1)</f>
        <v>EMERGENCIES</v>
      </c>
    </row>
    <row r="211" spans="2:4" x14ac:dyDescent="0.25">
      <c r="B211" s="3">
        <f>INDEX(Calendar_table[DATE],INT(((ROW()-ROW($B$4))/10))+1)</f>
        <v>46133</v>
      </c>
      <c r="C211" t="str">
        <f>INDEX(CATEGORIES_DIM[CATEGORY],MOD(ROW()-ROW($B$4),ROWS(CATEGORIES_DIM[CATEGORY]))+1)</f>
        <v>INVESMENT</v>
      </c>
    </row>
    <row r="212" spans="2:4" x14ac:dyDescent="0.25">
      <c r="B212" s="3">
        <f>INDEX(Calendar_table[DATE],INT(((ROW()-ROW($B$4))/10))+1)</f>
        <v>46133</v>
      </c>
      <c r="C212" t="str">
        <f>INDEX(CATEGORIES_DIM[CATEGORY],MOD(ROW()-ROW($B$4),ROWS(CATEGORIES_DIM[CATEGORY]))+1)</f>
        <v>WHIMS</v>
      </c>
    </row>
    <row r="213" spans="2:4" x14ac:dyDescent="0.25">
      <c r="B213" s="3">
        <f>INDEX(Calendar_table[DATE],INT(((ROW()-ROW($B$4))/10))+1)</f>
        <v>46133</v>
      </c>
      <c r="C213" t="str">
        <f>INDEX(CATEGORIES_DIM[CATEGORY],MOD(ROW()-ROW($B$4),ROWS(CATEGORIES_DIM[CATEGORY]))+1)</f>
        <v>GIFTS/CHARITY</v>
      </c>
    </row>
    <row r="214" spans="2:4" x14ac:dyDescent="0.25">
      <c r="B214" s="3">
        <f>INDEX(Calendar_table[DATE],INT(((ROW()-ROW($B$4))/10))+1)</f>
        <v>46134</v>
      </c>
      <c r="C214" t="str">
        <f>INDEX(CATEGORIES_DIM[CATEGORY],MOD(ROW()-ROW($B$4),ROWS(CATEGORIES_DIM[CATEGORY]))+1)</f>
        <v>RENT/SERVICES</v>
      </c>
    </row>
    <row r="215" spans="2:4" x14ac:dyDescent="0.25">
      <c r="B215" s="3">
        <f>INDEX(Calendar_table[DATE],INT(((ROW()-ROW($B$4))/10))+1)</f>
        <v>46134</v>
      </c>
      <c r="C215" t="str">
        <f>INDEX(CATEGORIES_DIM[CATEGORY],MOD(ROW()-ROW($B$4),ROWS(CATEGORIES_DIM[CATEGORY]))+1)</f>
        <v>FOOD</v>
      </c>
    </row>
    <row r="216" spans="2:4" x14ac:dyDescent="0.25">
      <c r="B216" s="3">
        <f>INDEX(Calendar_table[DATE],INT(((ROW()-ROW($B$4))/10))+1)</f>
        <v>46134</v>
      </c>
      <c r="C216" t="str">
        <f>INDEX(CATEGORIES_DIM[CATEGORY],MOD(ROW()-ROW($B$4),ROWS(CATEGORIES_DIM[CATEGORY]))+1)</f>
        <v>ENTRETAIMENT</v>
      </c>
      <c r="D216">
        <v>70</v>
      </c>
    </row>
    <row r="217" spans="2:4" x14ac:dyDescent="0.25">
      <c r="B217" s="3">
        <f>INDEX(Calendar_table[DATE],INT(((ROW()-ROW($B$4))/10))+1)</f>
        <v>46134</v>
      </c>
      <c r="C217" t="str">
        <f>INDEX(CATEGORIES_DIM[CATEGORY],MOD(ROW()-ROW($B$4),ROWS(CATEGORIES_DIM[CATEGORY]))+1)</f>
        <v>HEALTH</v>
      </c>
    </row>
    <row r="218" spans="2:4" x14ac:dyDescent="0.25">
      <c r="B218" s="3">
        <f>INDEX(Calendar_table[DATE],INT(((ROW()-ROW($B$4))/10))+1)</f>
        <v>46134</v>
      </c>
      <c r="C218" t="str">
        <f>INDEX(CATEGORIES_DIM[CATEGORY],MOD(ROW()-ROW($B$4),ROWS(CATEGORIES_DIM[CATEGORY]))+1)</f>
        <v>EDUCATION</v>
      </c>
    </row>
    <row r="219" spans="2:4" x14ac:dyDescent="0.25">
      <c r="B219" s="3">
        <f>INDEX(Calendar_table[DATE],INT(((ROW()-ROW($B$4))/10))+1)</f>
        <v>46134</v>
      </c>
      <c r="C219" t="str">
        <f>INDEX(CATEGORIES_DIM[CATEGORY],MOD(ROW()-ROW($B$4),ROWS(CATEGORIES_DIM[CATEGORY]))+1)</f>
        <v>TRAVEL</v>
      </c>
    </row>
    <row r="220" spans="2:4" x14ac:dyDescent="0.25">
      <c r="B220" s="3">
        <f>INDEX(Calendar_table[DATE],INT(((ROW()-ROW($B$4))/10))+1)</f>
        <v>46134</v>
      </c>
      <c r="C220" t="str">
        <f>INDEX(CATEGORIES_DIM[CATEGORY],MOD(ROW()-ROW($B$4),ROWS(CATEGORIES_DIM[CATEGORY]))+1)</f>
        <v>EMERGENCIES</v>
      </c>
    </row>
    <row r="221" spans="2:4" x14ac:dyDescent="0.25">
      <c r="B221" s="3">
        <f>INDEX(Calendar_table[DATE],INT(((ROW()-ROW($B$4))/10))+1)</f>
        <v>46134</v>
      </c>
      <c r="C221" t="str">
        <f>INDEX(CATEGORIES_DIM[CATEGORY],MOD(ROW()-ROW($B$4),ROWS(CATEGORIES_DIM[CATEGORY]))+1)</f>
        <v>INVESMENT</v>
      </c>
    </row>
    <row r="222" spans="2:4" x14ac:dyDescent="0.25">
      <c r="B222" s="3">
        <f>INDEX(Calendar_table[DATE],INT(((ROW()-ROW($B$4))/10))+1)</f>
        <v>46134</v>
      </c>
      <c r="C222" t="str">
        <f>INDEX(CATEGORIES_DIM[CATEGORY],MOD(ROW()-ROW($B$4),ROWS(CATEGORIES_DIM[CATEGORY]))+1)</f>
        <v>WHIMS</v>
      </c>
    </row>
    <row r="223" spans="2:4" x14ac:dyDescent="0.25">
      <c r="B223" s="3">
        <f>INDEX(Calendar_table[DATE],INT(((ROW()-ROW($B$4))/10))+1)</f>
        <v>46134</v>
      </c>
      <c r="C223" t="str">
        <f>INDEX(CATEGORIES_DIM[CATEGORY],MOD(ROW()-ROW($B$4),ROWS(CATEGORIES_DIM[CATEGORY]))+1)</f>
        <v>GIFTS/CHARITY</v>
      </c>
    </row>
    <row r="224" spans="2:4" x14ac:dyDescent="0.25">
      <c r="B224" s="3">
        <f>INDEX(Calendar_table[DATE],INT(((ROW()-ROW($B$4))/10))+1)</f>
        <v>46135</v>
      </c>
      <c r="C224" t="str">
        <f>INDEX(CATEGORIES_DIM[CATEGORY],MOD(ROW()-ROW($B$4),ROWS(CATEGORIES_DIM[CATEGORY]))+1)</f>
        <v>RENT/SERVICES</v>
      </c>
    </row>
    <row r="225" spans="2:4" x14ac:dyDescent="0.25">
      <c r="B225" s="3">
        <f>INDEX(Calendar_table[DATE],INT(((ROW()-ROW($B$4))/10))+1)</f>
        <v>46135</v>
      </c>
      <c r="C225" t="str">
        <f>INDEX(CATEGORIES_DIM[CATEGORY],MOD(ROW()-ROW($B$4),ROWS(CATEGORIES_DIM[CATEGORY]))+1)</f>
        <v>FOOD</v>
      </c>
      <c r="D225">
        <v>26</v>
      </c>
    </row>
    <row r="226" spans="2:4" x14ac:dyDescent="0.25">
      <c r="B226" s="3">
        <f>INDEX(Calendar_table[DATE],INT(((ROW()-ROW($B$4))/10))+1)</f>
        <v>46135</v>
      </c>
      <c r="C226" t="str">
        <f>INDEX(CATEGORIES_DIM[CATEGORY],MOD(ROW()-ROW($B$4),ROWS(CATEGORIES_DIM[CATEGORY]))+1)</f>
        <v>ENTRETAIMENT</v>
      </c>
      <c r="D226">
        <v>10</v>
      </c>
    </row>
    <row r="227" spans="2:4" x14ac:dyDescent="0.25">
      <c r="B227" s="3">
        <f>INDEX(Calendar_table[DATE],INT(((ROW()-ROW($B$4))/10))+1)</f>
        <v>46135</v>
      </c>
      <c r="C227" t="str">
        <f>INDEX(CATEGORIES_DIM[CATEGORY],MOD(ROW()-ROW($B$4),ROWS(CATEGORIES_DIM[CATEGORY]))+1)</f>
        <v>HEALTH</v>
      </c>
    </row>
    <row r="228" spans="2:4" x14ac:dyDescent="0.25">
      <c r="B228" s="3">
        <f>INDEX(Calendar_table[DATE],INT(((ROW()-ROW($B$4))/10))+1)</f>
        <v>46135</v>
      </c>
      <c r="C228" t="str">
        <f>INDEX(CATEGORIES_DIM[CATEGORY],MOD(ROW()-ROW($B$4),ROWS(CATEGORIES_DIM[CATEGORY]))+1)</f>
        <v>EDUCATION</v>
      </c>
    </row>
    <row r="229" spans="2:4" x14ac:dyDescent="0.25">
      <c r="B229" s="3">
        <f>INDEX(Calendar_table[DATE],INT(((ROW()-ROW($B$4))/10))+1)</f>
        <v>46135</v>
      </c>
      <c r="C229" t="str">
        <f>INDEX(CATEGORIES_DIM[CATEGORY],MOD(ROW()-ROW($B$4),ROWS(CATEGORIES_DIM[CATEGORY]))+1)</f>
        <v>TRAVEL</v>
      </c>
    </row>
    <row r="230" spans="2:4" x14ac:dyDescent="0.25">
      <c r="B230" s="3">
        <f>INDEX(Calendar_table[DATE],INT(((ROW()-ROW($B$4))/10))+1)</f>
        <v>46135</v>
      </c>
      <c r="C230" t="str">
        <f>INDEX(CATEGORIES_DIM[CATEGORY],MOD(ROW()-ROW($B$4),ROWS(CATEGORIES_DIM[CATEGORY]))+1)</f>
        <v>EMERGENCIES</v>
      </c>
    </row>
    <row r="231" spans="2:4" x14ac:dyDescent="0.25">
      <c r="B231" s="3">
        <f>INDEX(Calendar_table[DATE],INT(((ROW()-ROW($B$4))/10))+1)</f>
        <v>46135</v>
      </c>
      <c r="C231" t="str">
        <f>INDEX(CATEGORIES_DIM[CATEGORY],MOD(ROW()-ROW($B$4),ROWS(CATEGORIES_DIM[CATEGORY]))+1)</f>
        <v>INVESMENT</v>
      </c>
    </row>
    <row r="232" spans="2:4" x14ac:dyDescent="0.25">
      <c r="B232" s="3">
        <f>INDEX(Calendar_table[DATE],INT(((ROW()-ROW($B$4))/10))+1)</f>
        <v>46135</v>
      </c>
      <c r="C232" t="str">
        <f>INDEX(CATEGORIES_DIM[CATEGORY],MOD(ROW()-ROW($B$4),ROWS(CATEGORIES_DIM[CATEGORY]))+1)</f>
        <v>WHIMS</v>
      </c>
    </row>
    <row r="233" spans="2:4" x14ac:dyDescent="0.25">
      <c r="B233" s="3">
        <f>INDEX(Calendar_table[DATE],INT(((ROW()-ROW($B$4))/10))+1)</f>
        <v>46135</v>
      </c>
      <c r="C233" t="str">
        <f>INDEX(CATEGORIES_DIM[CATEGORY],MOD(ROW()-ROW($B$4),ROWS(CATEGORIES_DIM[CATEGORY]))+1)</f>
        <v>GIFTS/CHARITY</v>
      </c>
      <c r="D233">
        <v>200</v>
      </c>
    </row>
    <row r="234" spans="2:4" x14ac:dyDescent="0.25">
      <c r="B234" s="3">
        <f>INDEX(Calendar_table[DATE],INT(((ROW()-ROW($B$4))/10))+1)</f>
        <v>46136</v>
      </c>
      <c r="C234" t="str">
        <f>INDEX(CATEGORIES_DIM[CATEGORY],MOD(ROW()-ROW($B$4),ROWS(CATEGORIES_DIM[CATEGORY]))+1)</f>
        <v>RENT/SERVICES</v>
      </c>
    </row>
    <row r="235" spans="2:4" x14ac:dyDescent="0.25">
      <c r="B235" s="3">
        <f>INDEX(Calendar_table[DATE],INT(((ROW()-ROW($B$4))/10))+1)</f>
        <v>46136</v>
      </c>
      <c r="C235" t="str">
        <f>INDEX(CATEGORIES_DIM[CATEGORY],MOD(ROW()-ROW($B$4),ROWS(CATEGORIES_DIM[CATEGORY]))+1)</f>
        <v>FOOD</v>
      </c>
      <c r="D235">
        <v>50</v>
      </c>
    </row>
    <row r="236" spans="2:4" x14ac:dyDescent="0.25">
      <c r="B236" s="3">
        <f>INDEX(Calendar_table[DATE],INT(((ROW()-ROW($B$4))/10))+1)</f>
        <v>46136</v>
      </c>
      <c r="C236" t="str">
        <f>INDEX(CATEGORIES_DIM[CATEGORY],MOD(ROW()-ROW($B$4),ROWS(CATEGORIES_DIM[CATEGORY]))+1)</f>
        <v>ENTRETAIMENT</v>
      </c>
      <c r="D236">
        <v>200</v>
      </c>
    </row>
    <row r="237" spans="2:4" x14ac:dyDescent="0.25">
      <c r="B237" s="3">
        <f>INDEX(Calendar_table[DATE],INT(((ROW()-ROW($B$4))/10))+1)</f>
        <v>46136</v>
      </c>
      <c r="C237" t="str">
        <f>INDEX(CATEGORIES_DIM[CATEGORY],MOD(ROW()-ROW($B$4),ROWS(CATEGORIES_DIM[CATEGORY]))+1)</f>
        <v>HEALTH</v>
      </c>
    </row>
    <row r="238" spans="2:4" x14ac:dyDescent="0.25">
      <c r="B238" s="3">
        <f>INDEX(Calendar_table[DATE],INT(((ROW()-ROW($B$4))/10))+1)</f>
        <v>46136</v>
      </c>
      <c r="C238" t="str">
        <f>INDEX(CATEGORIES_DIM[CATEGORY],MOD(ROW()-ROW($B$4),ROWS(CATEGORIES_DIM[CATEGORY]))+1)</f>
        <v>EDUCATION</v>
      </c>
    </row>
    <row r="239" spans="2:4" x14ac:dyDescent="0.25">
      <c r="B239" s="3">
        <f>INDEX(Calendar_table[DATE],INT(((ROW()-ROW($B$4))/10))+1)</f>
        <v>46136</v>
      </c>
      <c r="C239" t="str">
        <f>INDEX(CATEGORIES_DIM[CATEGORY],MOD(ROW()-ROW($B$4),ROWS(CATEGORIES_DIM[CATEGORY]))+1)</f>
        <v>TRAVEL</v>
      </c>
    </row>
    <row r="240" spans="2:4" x14ac:dyDescent="0.25">
      <c r="B240" s="3">
        <f>INDEX(Calendar_table[DATE],INT(((ROW()-ROW($B$4))/10))+1)</f>
        <v>46136</v>
      </c>
      <c r="C240" t="str">
        <f>INDEX(CATEGORIES_DIM[CATEGORY],MOD(ROW()-ROW($B$4),ROWS(CATEGORIES_DIM[CATEGORY]))+1)</f>
        <v>EMERGENCIES</v>
      </c>
    </row>
    <row r="241" spans="2:4" x14ac:dyDescent="0.25">
      <c r="B241" s="3">
        <f>INDEX(Calendar_table[DATE],INT(((ROW()-ROW($B$4))/10))+1)</f>
        <v>46136</v>
      </c>
      <c r="C241" t="str">
        <f>INDEX(CATEGORIES_DIM[CATEGORY],MOD(ROW()-ROW($B$4),ROWS(CATEGORIES_DIM[CATEGORY]))+1)</f>
        <v>INVESMENT</v>
      </c>
    </row>
    <row r="242" spans="2:4" x14ac:dyDescent="0.25">
      <c r="B242" s="3">
        <f>INDEX(Calendar_table[DATE],INT(((ROW()-ROW($B$4))/10))+1)</f>
        <v>46136</v>
      </c>
      <c r="C242" t="str">
        <f>INDEX(CATEGORIES_DIM[CATEGORY],MOD(ROW()-ROW($B$4),ROWS(CATEGORIES_DIM[CATEGORY]))+1)</f>
        <v>WHIMS</v>
      </c>
    </row>
    <row r="243" spans="2:4" x14ac:dyDescent="0.25">
      <c r="B243" s="3">
        <f>INDEX(Calendar_table[DATE],INT(((ROW()-ROW($B$4))/10))+1)</f>
        <v>46136</v>
      </c>
      <c r="C243" t="str">
        <f>INDEX(CATEGORIES_DIM[CATEGORY],MOD(ROW()-ROW($B$4),ROWS(CATEGORIES_DIM[CATEGORY]))+1)</f>
        <v>GIFTS/CHARITY</v>
      </c>
    </row>
    <row r="244" spans="2:4" x14ac:dyDescent="0.25">
      <c r="B244" s="3">
        <f>INDEX(Calendar_table[DATE],INT(((ROW()-ROW($B$4))/10))+1)</f>
        <v>46137</v>
      </c>
      <c r="C244" t="str">
        <f>INDEX(CATEGORIES_DIM[CATEGORY],MOD(ROW()-ROW($B$4),ROWS(CATEGORIES_DIM[CATEGORY]))+1)</f>
        <v>RENT/SERVICES</v>
      </c>
    </row>
    <row r="245" spans="2:4" x14ac:dyDescent="0.25">
      <c r="B245" s="3">
        <f>INDEX(Calendar_table[DATE],INT(((ROW()-ROW($B$4))/10))+1)</f>
        <v>46137</v>
      </c>
      <c r="C245" t="str">
        <f>INDEX(CATEGORIES_DIM[CATEGORY],MOD(ROW()-ROW($B$4),ROWS(CATEGORIES_DIM[CATEGORY]))+1)</f>
        <v>FOOD</v>
      </c>
      <c r="D245">
        <v>100</v>
      </c>
    </row>
    <row r="246" spans="2:4" x14ac:dyDescent="0.25">
      <c r="B246" s="3">
        <f>INDEX(Calendar_table[DATE],INT(((ROW()-ROW($B$4))/10))+1)</f>
        <v>46137</v>
      </c>
      <c r="C246" t="str">
        <f>INDEX(CATEGORIES_DIM[CATEGORY],MOD(ROW()-ROW($B$4),ROWS(CATEGORIES_DIM[CATEGORY]))+1)</f>
        <v>ENTRETAIMENT</v>
      </c>
    </row>
    <row r="247" spans="2:4" x14ac:dyDescent="0.25">
      <c r="B247" s="3">
        <f>INDEX(Calendar_table[DATE],INT(((ROW()-ROW($B$4))/10))+1)</f>
        <v>46137</v>
      </c>
      <c r="C247" t="str">
        <f>INDEX(CATEGORIES_DIM[CATEGORY],MOD(ROW()-ROW($B$4),ROWS(CATEGORIES_DIM[CATEGORY]))+1)</f>
        <v>HEALTH</v>
      </c>
    </row>
    <row r="248" spans="2:4" x14ac:dyDescent="0.25">
      <c r="B248" s="3">
        <f>INDEX(Calendar_table[DATE],INT(((ROW()-ROW($B$4))/10))+1)</f>
        <v>46137</v>
      </c>
      <c r="C248" t="str">
        <f>INDEX(CATEGORIES_DIM[CATEGORY],MOD(ROW()-ROW($B$4),ROWS(CATEGORIES_DIM[CATEGORY]))+1)</f>
        <v>EDUCATION</v>
      </c>
    </row>
    <row r="249" spans="2:4" x14ac:dyDescent="0.25">
      <c r="B249" s="3">
        <f>INDEX(Calendar_table[DATE],INT(((ROW()-ROW($B$4))/10))+1)</f>
        <v>46137</v>
      </c>
      <c r="C249" t="str">
        <f>INDEX(CATEGORIES_DIM[CATEGORY],MOD(ROW()-ROW($B$4),ROWS(CATEGORIES_DIM[CATEGORY]))+1)</f>
        <v>TRAVEL</v>
      </c>
    </row>
    <row r="250" spans="2:4" x14ac:dyDescent="0.25">
      <c r="B250" s="3">
        <f>INDEX(Calendar_table[DATE],INT(((ROW()-ROW($B$4))/10))+1)</f>
        <v>46137</v>
      </c>
      <c r="C250" t="str">
        <f>INDEX(CATEGORIES_DIM[CATEGORY],MOD(ROW()-ROW($B$4),ROWS(CATEGORIES_DIM[CATEGORY]))+1)</f>
        <v>EMERGENCIES</v>
      </c>
    </row>
    <row r="251" spans="2:4" x14ac:dyDescent="0.25">
      <c r="B251" s="3">
        <f>INDEX(Calendar_table[DATE],INT(((ROW()-ROW($B$4))/10))+1)</f>
        <v>46137</v>
      </c>
      <c r="C251" t="str">
        <f>INDEX(CATEGORIES_DIM[CATEGORY],MOD(ROW()-ROW($B$4),ROWS(CATEGORIES_DIM[CATEGORY]))+1)</f>
        <v>INVESMENT</v>
      </c>
    </row>
    <row r="252" spans="2:4" x14ac:dyDescent="0.25">
      <c r="B252" s="3">
        <f>INDEX(Calendar_table[DATE],INT(((ROW()-ROW($B$4))/10))+1)</f>
        <v>46137</v>
      </c>
      <c r="C252" t="str">
        <f>INDEX(CATEGORIES_DIM[CATEGORY],MOD(ROW()-ROW($B$4),ROWS(CATEGORIES_DIM[CATEGORY]))+1)</f>
        <v>WHIMS</v>
      </c>
    </row>
    <row r="253" spans="2:4" x14ac:dyDescent="0.25">
      <c r="B253" s="3">
        <f>INDEX(Calendar_table[DATE],INT(((ROW()-ROW($B$4))/10))+1)</f>
        <v>46137</v>
      </c>
      <c r="C253" t="str">
        <f>INDEX(CATEGORIES_DIM[CATEGORY],MOD(ROW()-ROW($B$4),ROWS(CATEGORIES_DIM[CATEGORY]))+1)</f>
        <v>GIFTS/CHARITY</v>
      </c>
    </row>
    <row r="254" spans="2:4" x14ac:dyDescent="0.25">
      <c r="B254" s="3">
        <f>INDEX(Calendar_table[DATE],INT(((ROW()-ROW($B$4))/10))+1)</f>
        <v>46138</v>
      </c>
      <c r="C254" t="str">
        <f>INDEX(CATEGORIES_DIM[CATEGORY],MOD(ROW()-ROW($B$4),ROWS(CATEGORIES_DIM[CATEGORY]))+1)</f>
        <v>RENT/SERVICES</v>
      </c>
    </row>
    <row r="255" spans="2:4" x14ac:dyDescent="0.25">
      <c r="B255" s="3">
        <f>INDEX(Calendar_table[DATE],INT(((ROW()-ROW($B$4))/10))+1)</f>
        <v>46138</v>
      </c>
      <c r="C255" t="str">
        <f>INDEX(CATEGORIES_DIM[CATEGORY],MOD(ROW()-ROW($B$4),ROWS(CATEGORIES_DIM[CATEGORY]))+1)</f>
        <v>FOOD</v>
      </c>
      <c r="D255">
        <v>300</v>
      </c>
    </row>
    <row r="256" spans="2:4" x14ac:dyDescent="0.25">
      <c r="B256" s="3">
        <f>INDEX(Calendar_table[DATE],INT(((ROW()-ROW($B$4))/10))+1)</f>
        <v>46138</v>
      </c>
      <c r="C256" t="str">
        <f>INDEX(CATEGORIES_DIM[CATEGORY],MOD(ROW()-ROW($B$4),ROWS(CATEGORIES_DIM[CATEGORY]))+1)</f>
        <v>ENTRETAIMENT</v>
      </c>
      <c r="D256">
        <v>300</v>
      </c>
    </row>
    <row r="257" spans="2:4" x14ac:dyDescent="0.25">
      <c r="B257" s="3">
        <f>INDEX(Calendar_table[DATE],INT(((ROW()-ROW($B$4))/10))+1)</f>
        <v>46138</v>
      </c>
      <c r="C257" t="str">
        <f>INDEX(CATEGORIES_DIM[CATEGORY],MOD(ROW()-ROW($B$4),ROWS(CATEGORIES_DIM[CATEGORY]))+1)</f>
        <v>HEALTH</v>
      </c>
    </row>
    <row r="258" spans="2:4" x14ac:dyDescent="0.25">
      <c r="B258" s="3">
        <f>INDEX(Calendar_table[DATE],INT(((ROW()-ROW($B$4))/10))+1)</f>
        <v>46138</v>
      </c>
      <c r="C258" t="str">
        <f>INDEX(CATEGORIES_DIM[CATEGORY],MOD(ROW()-ROW($B$4),ROWS(CATEGORIES_DIM[CATEGORY]))+1)</f>
        <v>EDUCATION</v>
      </c>
    </row>
    <row r="259" spans="2:4" x14ac:dyDescent="0.25">
      <c r="B259" s="3">
        <f>INDEX(Calendar_table[DATE],INT(((ROW()-ROW($B$4))/10))+1)</f>
        <v>46138</v>
      </c>
      <c r="C259" t="str">
        <f>INDEX(CATEGORIES_DIM[CATEGORY],MOD(ROW()-ROW($B$4),ROWS(CATEGORIES_DIM[CATEGORY]))+1)</f>
        <v>TRAVEL</v>
      </c>
    </row>
    <row r="260" spans="2:4" x14ac:dyDescent="0.25">
      <c r="B260" s="3">
        <f>INDEX(Calendar_table[DATE],INT(((ROW()-ROW($B$4))/10))+1)</f>
        <v>46138</v>
      </c>
      <c r="C260" t="str">
        <f>INDEX(CATEGORIES_DIM[CATEGORY],MOD(ROW()-ROW($B$4),ROWS(CATEGORIES_DIM[CATEGORY]))+1)</f>
        <v>EMERGENCIES</v>
      </c>
    </row>
    <row r="261" spans="2:4" x14ac:dyDescent="0.25">
      <c r="B261" s="3">
        <f>INDEX(Calendar_table[DATE],INT(((ROW()-ROW($B$4))/10))+1)</f>
        <v>46138</v>
      </c>
      <c r="C261" t="str">
        <f>INDEX(CATEGORIES_DIM[CATEGORY],MOD(ROW()-ROW($B$4),ROWS(CATEGORIES_DIM[CATEGORY]))+1)</f>
        <v>INVESMENT</v>
      </c>
    </row>
    <row r="262" spans="2:4" x14ac:dyDescent="0.25">
      <c r="B262" s="3">
        <f>INDEX(Calendar_table[DATE],INT(((ROW()-ROW($B$4))/10))+1)</f>
        <v>46138</v>
      </c>
      <c r="C262" t="str">
        <f>INDEX(CATEGORIES_DIM[CATEGORY],MOD(ROW()-ROW($B$4),ROWS(CATEGORIES_DIM[CATEGORY]))+1)</f>
        <v>WHIMS</v>
      </c>
    </row>
    <row r="263" spans="2:4" x14ac:dyDescent="0.25">
      <c r="B263" s="3">
        <f>INDEX(Calendar_table[DATE],INT(((ROW()-ROW($B$4))/10))+1)</f>
        <v>46138</v>
      </c>
      <c r="C263" t="str">
        <f>INDEX(CATEGORIES_DIM[CATEGORY],MOD(ROW()-ROW($B$4),ROWS(CATEGORIES_DIM[CATEGORY]))+1)</f>
        <v>GIFTS/CHARITY</v>
      </c>
    </row>
    <row r="264" spans="2:4" x14ac:dyDescent="0.25">
      <c r="B264" s="3">
        <f>INDEX(Calendar_table[DATE],INT(((ROW()-ROW($B$4))/10))+1)</f>
        <v>46139</v>
      </c>
      <c r="C264" t="str">
        <f>INDEX(CATEGORIES_DIM[CATEGORY],MOD(ROW()-ROW($B$4),ROWS(CATEGORIES_DIM[CATEGORY]))+1)</f>
        <v>RENT/SERVICES</v>
      </c>
    </row>
    <row r="265" spans="2:4" x14ac:dyDescent="0.25">
      <c r="B265" s="3">
        <f>INDEX(Calendar_table[DATE],INT(((ROW()-ROW($B$4))/10))+1)</f>
        <v>46139</v>
      </c>
      <c r="C265" t="str">
        <f>INDEX(CATEGORIES_DIM[CATEGORY],MOD(ROW()-ROW($B$4),ROWS(CATEGORIES_DIM[CATEGORY]))+1)</f>
        <v>FOOD</v>
      </c>
      <c r="D265">
        <v>300</v>
      </c>
    </row>
    <row r="266" spans="2:4" x14ac:dyDescent="0.25">
      <c r="B266" s="3">
        <f>INDEX(Calendar_table[DATE],INT(((ROW()-ROW($B$4))/10))+1)</f>
        <v>46139</v>
      </c>
      <c r="C266" t="str">
        <f>INDEX(CATEGORIES_DIM[CATEGORY],MOD(ROW()-ROW($B$4),ROWS(CATEGORIES_DIM[CATEGORY]))+1)</f>
        <v>ENTRETAIMENT</v>
      </c>
    </row>
    <row r="267" spans="2:4" x14ac:dyDescent="0.25">
      <c r="B267" s="3">
        <f>INDEX(Calendar_table[DATE],INT(((ROW()-ROW($B$4))/10))+1)</f>
        <v>46139</v>
      </c>
      <c r="C267" t="str">
        <f>INDEX(CATEGORIES_DIM[CATEGORY],MOD(ROW()-ROW($B$4),ROWS(CATEGORIES_DIM[CATEGORY]))+1)</f>
        <v>HEALTH</v>
      </c>
    </row>
    <row r="268" spans="2:4" x14ac:dyDescent="0.25">
      <c r="B268" s="3">
        <f>INDEX(Calendar_table[DATE],INT(((ROW()-ROW($B$4))/10))+1)</f>
        <v>46139</v>
      </c>
      <c r="C268" t="str">
        <f>INDEX(CATEGORIES_DIM[CATEGORY],MOD(ROW()-ROW($B$4),ROWS(CATEGORIES_DIM[CATEGORY]))+1)</f>
        <v>EDUCATION</v>
      </c>
    </row>
    <row r="269" spans="2:4" x14ac:dyDescent="0.25">
      <c r="B269" s="3">
        <f>INDEX(Calendar_table[DATE],INT(((ROW()-ROW($B$4))/10))+1)</f>
        <v>46139</v>
      </c>
      <c r="C269" t="str">
        <f>INDEX(CATEGORIES_DIM[CATEGORY],MOD(ROW()-ROW($B$4),ROWS(CATEGORIES_DIM[CATEGORY]))+1)</f>
        <v>TRAVEL</v>
      </c>
    </row>
    <row r="270" spans="2:4" x14ac:dyDescent="0.25">
      <c r="B270" s="3">
        <f>INDEX(Calendar_table[DATE],INT(((ROW()-ROW($B$4))/10))+1)</f>
        <v>46139</v>
      </c>
      <c r="C270" t="str">
        <f>INDEX(CATEGORIES_DIM[CATEGORY],MOD(ROW()-ROW($B$4),ROWS(CATEGORIES_DIM[CATEGORY]))+1)</f>
        <v>EMERGENCIES</v>
      </c>
    </row>
    <row r="271" spans="2:4" x14ac:dyDescent="0.25">
      <c r="B271" s="3">
        <f>INDEX(Calendar_table[DATE],INT(((ROW()-ROW($B$4))/10))+1)</f>
        <v>46139</v>
      </c>
      <c r="C271" t="str">
        <f>INDEX(CATEGORIES_DIM[CATEGORY],MOD(ROW()-ROW($B$4),ROWS(CATEGORIES_DIM[CATEGORY]))+1)</f>
        <v>INVESMENT</v>
      </c>
    </row>
    <row r="272" spans="2:4" x14ac:dyDescent="0.25">
      <c r="B272" s="3">
        <f>INDEX(Calendar_table[DATE],INT(((ROW()-ROW($B$4))/10))+1)</f>
        <v>46139</v>
      </c>
      <c r="C272" t="str">
        <f>INDEX(CATEGORIES_DIM[CATEGORY],MOD(ROW()-ROW($B$4),ROWS(CATEGORIES_DIM[CATEGORY]))+1)</f>
        <v>WHIMS</v>
      </c>
    </row>
    <row r="273" spans="2:3" x14ac:dyDescent="0.25">
      <c r="B273" s="3">
        <f>INDEX(Calendar_table[DATE],INT(((ROW()-ROW($B$4))/10))+1)</f>
        <v>46139</v>
      </c>
      <c r="C273" t="str">
        <f>INDEX(CATEGORIES_DIM[CATEGORY],MOD(ROW()-ROW($B$4),ROWS(CATEGORIES_DIM[CATEGORY]))+1)</f>
        <v>GIFTS/CHARITY</v>
      </c>
    </row>
    <row r="274" spans="2:3" x14ac:dyDescent="0.25">
      <c r="B274" s="3">
        <f>INDEX(Calendar_table[DATE],INT(((ROW()-ROW($B$4))/10))+1)</f>
        <v>46140</v>
      </c>
      <c r="C274" t="str">
        <f>INDEX(CATEGORIES_DIM[CATEGORY],MOD(ROW()-ROW($B$4),ROWS(CATEGORIES_DIM[CATEGORY]))+1)</f>
        <v>RENT/SERVICES</v>
      </c>
    </row>
    <row r="275" spans="2:3" x14ac:dyDescent="0.25">
      <c r="B275" s="3">
        <f>INDEX(Calendar_table[DATE],INT(((ROW()-ROW($B$4))/10))+1)</f>
        <v>46140</v>
      </c>
      <c r="C275" t="str">
        <f>INDEX(CATEGORIES_DIM[CATEGORY],MOD(ROW()-ROW($B$4),ROWS(CATEGORIES_DIM[CATEGORY]))+1)</f>
        <v>FOOD</v>
      </c>
    </row>
    <row r="276" spans="2:3" x14ac:dyDescent="0.25">
      <c r="B276" s="3">
        <f>INDEX(Calendar_table[DATE],INT(((ROW()-ROW($B$4))/10))+1)</f>
        <v>46140</v>
      </c>
      <c r="C276" t="str">
        <f>INDEX(CATEGORIES_DIM[CATEGORY],MOD(ROW()-ROW($B$4),ROWS(CATEGORIES_DIM[CATEGORY]))+1)</f>
        <v>ENTRETAIMENT</v>
      </c>
    </row>
    <row r="277" spans="2:3" x14ac:dyDescent="0.25">
      <c r="B277" s="3">
        <f>INDEX(Calendar_table[DATE],INT(((ROW()-ROW($B$4))/10))+1)</f>
        <v>46140</v>
      </c>
      <c r="C277" t="str">
        <f>INDEX(CATEGORIES_DIM[CATEGORY],MOD(ROW()-ROW($B$4),ROWS(CATEGORIES_DIM[CATEGORY]))+1)</f>
        <v>HEALTH</v>
      </c>
    </row>
    <row r="278" spans="2:3" x14ac:dyDescent="0.25">
      <c r="B278" s="3">
        <f>INDEX(Calendar_table[DATE],INT(((ROW()-ROW($B$4))/10))+1)</f>
        <v>46140</v>
      </c>
      <c r="C278" t="str">
        <f>INDEX(CATEGORIES_DIM[CATEGORY],MOD(ROW()-ROW($B$4),ROWS(CATEGORIES_DIM[CATEGORY]))+1)</f>
        <v>EDUCATION</v>
      </c>
    </row>
    <row r="279" spans="2:3" x14ac:dyDescent="0.25">
      <c r="B279" s="3">
        <f>INDEX(Calendar_table[DATE],INT(((ROW()-ROW($B$4))/10))+1)</f>
        <v>46140</v>
      </c>
      <c r="C279" t="str">
        <f>INDEX(CATEGORIES_DIM[CATEGORY],MOD(ROW()-ROW($B$4),ROWS(CATEGORIES_DIM[CATEGORY]))+1)</f>
        <v>TRAVEL</v>
      </c>
    </row>
    <row r="280" spans="2:3" x14ac:dyDescent="0.25">
      <c r="B280" s="3">
        <f>INDEX(Calendar_table[DATE],INT(((ROW()-ROW($B$4))/10))+1)</f>
        <v>46140</v>
      </c>
      <c r="C280" t="str">
        <f>INDEX(CATEGORIES_DIM[CATEGORY],MOD(ROW()-ROW($B$4),ROWS(CATEGORIES_DIM[CATEGORY]))+1)</f>
        <v>EMERGENCIES</v>
      </c>
    </row>
    <row r="281" spans="2:3" x14ac:dyDescent="0.25">
      <c r="B281" s="3">
        <f>INDEX(Calendar_table[DATE],INT(((ROW()-ROW($B$4))/10))+1)</f>
        <v>46140</v>
      </c>
      <c r="C281" t="str">
        <f>INDEX(CATEGORIES_DIM[CATEGORY],MOD(ROW()-ROW($B$4),ROWS(CATEGORIES_DIM[CATEGORY]))+1)</f>
        <v>INVESMENT</v>
      </c>
    </row>
    <row r="282" spans="2:3" x14ac:dyDescent="0.25">
      <c r="B282" s="3">
        <f>INDEX(Calendar_table[DATE],INT(((ROW()-ROW($B$4))/10))+1)</f>
        <v>46140</v>
      </c>
      <c r="C282" t="str">
        <f>INDEX(CATEGORIES_DIM[CATEGORY],MOD(ROW()-ROW($B$4),ROWS(CATEGORIES_DIM[CATEGORY]))+1)</f>
        <v>WHIMS</v>
      </c>
    </row>
    <row r="283" spans="2:3" x14ac:dyDescent="0.25">
      <c r="B283" s="3">
        <f>INDEX(Calendar_table[DATE],INT(((ROW()-ROW($B$4))/10))+1)</f>
        <v>46140</v>
      </c>
      <c r="C283" t="str">
        <f>INDEX(CATEGORIES_DIM[CATEGORY],MOD(ROW()-ROW($B$4),ROWS(CATEGORIES_DIM[CATEGORY]))+1)</f>
        <v>GIFTS/CHARITY</v>
      </c>
    </row>
    <row r="284" spans="2:3" x14ac:dyDescent="0.25">
      <c r="B284" s="3">
        <f>INDEX(Calendar_table[DATE],INT(((ROW()-ROW($B$4))/10))+1)</f>
        <v>46141</v>
      </c>
      <c r="C284" t="str">
        <f>INDEX(CATEGORIES_DIM[CATEGORY],MOD(ROW()-ROW($B$4),ROWS(CATEGORIES_DIM[CATEGORY]))+1)</f>
        <v>RENT/SERVICES</v>
      </c>
    </row>
    <row r="285" spans="2:3" x14ac:dyDescent="0.25">
      <c r="B285" s="3">
        <f>INDEX(Calendar_table[DATE],INT(((ROW()-ROW($B$4))/10))+1)</f>
        <v>46141</v>
      </c>
      <c r="C285" t="str">
        <f>INDEX(CATEGORIES_DIM[CATEGORY],MOD(ROW()-ROW($B$4),ROWS(CATEGORIES_DIM[CATEGORY]))+1)</f>
        <v>FOOD</v>
      </c>
    </row>
    <row r="286" spans="2:3" x14ac:dyDescent="0.25">
      <c r="B286" s="3">
        <f>INDEX(Calendar_table[DATE],INT(((ROW()-ROW($B$4))/10))+1)</f>
        <v>46141</v>
      </c>
      <c r="C286" t="str">
        <f>INDEX(CATEGORIES_DIM[CATEGORY],MOD(ROW()-ROW($B$4),ROWS(CATEGORIES_DIM[CATEGORY]))+1)</f>
        <v>ENTRETAIMENT</v>
      </c>
    </row>
    <row r="287" spans="2:3" x14ac:dyDescent="0.25">
      <c r="B287" s="3">
        <f>INDEX(Calendar_table[DATE],INT(((ROW()-ROW($B$4))/10))+1)</f>
        <v>46141</v>
      </c>
      <c r="C287" t="str">
        <f>INDEX(CATEGORIES_DIM[CATEGORY],MOD(ROW()-ROW($B$4),ROWS(CATEGORIES_DIM[CATEGORY]))+1)</f>
        <v>HEALTH</v>
      </c>
    </row>
    <row r="288" spans="2:3" x14ac:dyDescent="0.25">
      <c r="B288" s="3">
        <f>INDEX(Calendar_table[DATE],INT(((ROW()-ROW($B$4))/10))+1)</f>
        <v>46141</v>
      </c>
      <c r="C288" t="str">
        <f>INDEX(CATEGORIES_DIM[CATEGORY],MOD(ROW()-ROW($B$4),ROWS(CATEGORIES_DIM[CATEGORY]))+1)</f>
        <v>EDUCATION</v>
      </c>
    </row>
    <row r="289" spans="2:3" x14ac:dyDescent="0.25">
      <c r="B289" s="3">
        <f>INDEX(Calendar_table[DATE],INT(((ROW()-ROW($B$4))/10))+1)</f>
        <v>46141</v>
      </c>
      <c r="C289" t="str">
        <f>INDEX(CATEGORIES_DIM[CATEGORY],MOD(ROW()-ROW($B$4),ROWS(CATEGORIES_DIM[CATEGORY]))+1)</f>
        <v>TRAVEL</v>
      </c>
    </row>
    <row r="290" spans="2:3" x14ac:dyDescent="0.25">
      <c r="B290" s="3">
        <f>INDEX(Calendar_table[DATE],INT(((ROW()-ROW($B$4))/10))+1)</f>
        <v>46141</v>
      </c>
      <c r="C290" t="str">
        <f>INDEX(CATEGORIES_DIM[CATEGORY],MOD(ROW()-ROW($B$4),ROWS(CATEGORIES_DIM[CATEGORY]))+1)</f>
        <v>EMERGENCIES</v>
      </c>
    </row>
    <row r="291" spans="2:3" x14ac:dyDescent="0.25">
      <c r="B291" s="3">
        <f>INDEX(Calendar_table[DATE],INT(((ROW()-ROW($B$4))/10))+1)</f>
        <v>46141</v>
      </c>
      <c r="C291" t="str">
        <f>INDEX(CATEGORIES_DIM[CATEGORY],MOD(ROW()-ROW($B$4),ROWS(CATEGORIES_DIM[CATEGORY]))+1)</f>
        <v>INVESMENT</v>
      </c>
    </row>
    <row r="292" spans="2:3" x14ac:dyDescent="0.25">
      <c r="B292" s="3">
        <f>INDEX(Calendar_table[DATE],INT(((ROW()-ROW($B$4))/10))+1)</f>
        <v>46141</v>
      </c>
      <c r="C292" t="str">
        <f>INDEX(CATEGORIES_DIM[CATEGORY],MOD(ROW()-ROW($B$4),ROWS(CATEGORIES_DIM[CATEGORY]))+1)</f>
        <v>WHIMS</v>
      </c>
    </row>
    <row r="293" spans="2:3" x14ac:dyDescent="0.25">
      <c r="B293" s="3">
        <f>INDEX(Calendar_table[DATE],INT(((ROW()-ROW($B$4))/10))+1)</f>
        <v>46141</v>
      </c>
      <c r="C293" t="str">
        <f>INDEX(CATEGORIES_DIM[CATEGORY],MOD(ROW()-ROW($B$4),ROWS(CATEGORIES_DIM[CATEGORY]))+1)</f>
        <v>GIFTS/CHARITY</v>
      </c>
    </row>
    <row r="294" spans="2:3" x14ac:dyDescent="0.25">
      <c r="B294" s="3">
        <f>INDEX(Calendar_table[DATE],INT(((ROW()-ROW($B$4))/10))+1)</f>
        <v>46142</v>
      </c>
      <c r="C294" t="str">
        <f>INDEX(CATEGORIES_DIM[CATEGORY],MOD(ROW()-ROW($B$4),ROWS(CATEGORIES_DIM[CATEGORY]))+1)</f>
        <v>RENT/SERVICES</v>
      </c>
    </row>
    <row r="295" spans="2:3" x14ac:dyDescent="0.25">
      <c r="B295" s="3">
        <f>INDEX(Calendar_table[DATE],INT(((ROW()-ROW($B$4))/10))+1)</f>
        <v>46142</v>
      </c>
      <c r="C295" t="str">
        <f>INDEX(CATEGORIES_DIM[CATEGORY],MOD(ROW()-ROW($B$4),ROWS(CATEGORIES_DIM[CATEGORY]))+1)</f>
        <v>FOOD</v>
      </c>
    </row>
    <row r="296" spans="2:3" x14ac:dyDescent="0.25">
      <c r="B296" s="3">
        <f>INDEX(Calendar_table[DATE],INT(((ROW()-ROW($B$4))/10))+1)</f>
        <v>46142</v>
      </c>
      <c r="C296" t="str">
        <f>INDEX(CATEGORIES_DIM[CATEGORY],MOD(ROW()-ROW($B$4),ROWS(CATEGORIES_DIM[CATEGORY]))+1)</f>
        <v>ENTRETAIMENT</v>
      </c>
    </row>
    <row r="297" spans="2:3" x14ac:dyDescent="0.25">
      <c r="B297" s="3">
        <f>INDEX(Calendar_table[DATE],INT(((ROW()-ROW($B$4))/10))+1)</f>
        <v>46142</v>
      </c>
      <c r="C297" t="str">
        <f>INDEX(CATEGORIES_DIM[CATEGORY],MOD(ROW()-ROW($B$4),ROWS(CATEGORIES_DIM[CATEGORY]))+1)</f>
        <v>HEALTH</v>
      </c>
    </row>
    <row r="298" spans="2:3" x14ac:dyDescent="0.25">
      <c r="B298" s="3">
        <f>INDEX(Calendar_table[DATE],INT(((ROW()-ROW($B$4))/10))+1)</f>
        <v>46142</v>
      </c>
      <c r="C298" t="str">
        <f>INDEX(CATEGORIES_DIM[CATEGORY],MOD(ROW()-ROW($B$4),ROWS(CATEGORIES_DIM[CATEGORY]))+1)</f>
        <v>EDUCATION</v>
      </c>
    </row>
    <row r="299" spans="2:3" x14ac:dyDescent="0.25">
      <c r="B299" s="3">
        <f>INDEX(Calendar_table[DATE],INT(((ROW()-ROW($B$4))/10))+1)</f>
        <v>46142</v>
      </c>
      <c r="C299" t="str">
        <f>INDEX(CATEGORIES_DIM[CATEGORY],MOD(ROW()-ROW($B$4),ROWS(CATEGORIES_DIM[CATEGORY]))+1)</f>
        <v>TRAVEL</v>
      </c>
    </row>
    <row r="300" spans="2:3" x14ac:dyDescent="0.25">
      <c r="B300" s="3">
        <f>INDEX(Calendar_table[DATE],INT(((ROW()-ROW($B$4))/10))+1)</f>
        <v>46142</v>
      </c>
      <c r="C300" t="str">
        <f>INDEX(CATEGORIES_DIM[CATEGORY],MOD(ROW()-ROW($B$4),ROWS(CATEGORIES_DIM[CATEGORY]))+1)</f>
        <v>EMERGENCIES</v>
      </c>
    </row>
    <row r="301" spans="2:3" x14ac:dyDescent="0.25">
      <c r="B301" s="3">
        <f>INDEX(Calendar_table[DATE],INT(((ROW()-ROW($B$4))/10))+1)</f>
        <v>46142</v>
      </c>
      <c r="C301" t="str">
        <f>INDEX(CATEGORIES_DIM[CATEGORY],MOD(ROW()-ROW($B$4),ROWS(CATEGORIES_DIM[CATEGORY]))+1)</f>
        <v>INVESMENT</v>
      </c>
    </row>
    <row r="302" spans="2:3" x14ac:dyDescent="0.25">
      <c r="B302" s="3">
        <f>INDEX(Calendar_table[DATE],INT(((ROW()-ROW($B$4))/10))+1)</f>
        <v>46142</v>
      </c>
      <c r="C302" t="str">
        <f>INDEX(CATEGORIES_DIM[CATEGORY],MOD(ROW()-ROW($B$4),ROWS(CATEGORIES_DIM[CATEGORY]))+1)</f>
        <v>WHIMS</v>
      </c>
    </row>
    <row r="303" spans="2:3" x14ac:dyDescent="0.25">
      <c r="B303" s="3">
        <f>INDEX(Calendar_table[DATE],INT(((ROW()-ROW($B$4))/10))+1)</f>
        <v>46142</v>
      </c>
      <c r="C303" t="str">
        <f>INDEX(CATEGORIES_DIM[CATEGORY],MOD(ROW()-ROW($B$4),ROWS(CATEGORIES_DIM[CATEGORY]))+1)</f>
        <v>GIFTS/CHARITY</v>
      </c>
    </row>
    <row r="304" spans="2:3" x14ac:dyDescent="0.25">
      <c r="B304" s="3">
        <f>INDEX(Calendar_table[DATE],INT(((ROW()-ROW($B$4))/10))+1)</f>
        <v>46143</v>
      </c>
      <c r="C304" t="str">
        <f>INDEX(CATEGORIES_DIM[CATEGORY],MOD(ROW()-ROW($B$4),ROWS(CATEGORIES_DIM[CATEGORY]))+1)</f>
        <v>RENT/SERVICES</v>
      </c>
    </row>
    <row r="305" spans="2:3" x14ac:dyDescent="0.25">
      <c r="B305" s="3">
        <f>INDEX(Calendar_table[DATE],INT(((ROW()-ROW($B$4))/10))+1)</f>
        <v>46143</v>
      </c>
      <c r="C305" t="str">
        <f>INDEX(CATEGORIES_DIM[CATEGORY],MOD(ROW()-ROW($B$4),ROWS(CATEGORIES_DIM[CATEGORY]))+1)</f>
        <v>FOOD</v>
      </c>
    </row>
    <row r="306" spans="2:3" x14ac:dyDescent="0.25">
      <c r="B306" s="3">
        <f>INDEX(Calendar_table[DATE],INT(((ROW()-ROW($B$4))/10))+1)</f>
        <v>46143</v>
      </c>
      <c r="C306" t="str">
        <f>INDEX(CATEGORIES_DIM[CATEGORY],MOD(ROW()-ROW($B$4),ROWS(CATEGORIES_DIM[CATEGORY]))+1)</f>
        <v>ENTRETAIMENT</v>
      </c>
    </row>
    <row r="307" spans="2:3" x14ac:dyDescent="0.25">
      <c r="B307" s="3">
        <f>INDEX(Calendar_table[DATE],INT(((ROW()-ROW($B$4))/10))+1)</f>
        <v>46143</v>
      </c>
      <c r="C307" t="str">
        <f>INDEX(CATEGORIES_DIM[CATEGORY],MOD(ROW()-ROW($B$4),ROWS(CATEGORIES_DIM[CATEGORY]))+1)</f>
        <v>HEALTH</v>
      </c>
    </row>
    <row r="308" spans="2:3" x14ac:dyDescent="0.25">
      <c r="B308" s="3">
        <f>INDEX(Calendar_table[DATE],INT(((ROW()-ROW($B$4))/10))+1)</f>
        <v>46143</v>
      </c>
      <c r="C308" t="str">
        <f>INDEX(CATEGORIES_DIM[CATEGORY],MOD(ROW()-ROW($B$4),ROWS(CATEGORIES_DIM[CATEGORY]))+1)</f>
        <v>EDUCATION</v>
      </c>
    </row>
    <row r="309" spans="2:3" x14ac:dyDescent="0.25">
      <c r="B309" s="3">
        <f>INDEX(Calendar_table[DATE],INT(((ROW()-ROW($B$4))/10))+1)</f>
        <v>46143</v>
      </c>
      <c r="C309" t="str">
        <f>INDEX(CATEGORIES_DIM[CATEGORY],MOD(ROW()-ROW($B$4),ROWS(CATEGORIES_DIM[CATEGORY]))+1)</f>
        <v>TRAVEL</v>
      </c>
    </row>
    <row r="310" spans="2:3" x14ac:dyDescent="0.25">
      <c r="B310" s="3">
        <f>INDEX(Calendar_table[DATE],INT(((ROW()-ROW($B$4))/10))+1)</f>
        <v>46143</v>
      </c>
      <c r="C310" t="str">
        <f>INDEX(CATEGORIES_DIM[CATEGORY],MOD(ROW()-ROW($B$4),ROWS(CATEGORIES_DIM[CATEGORY]))+1)</f>
        <v>EMERGENCIES</v>
      </c>
    </row>
    <row r="311" spans="2:3" x14ac:dyDescent="0.25">
      <c r="B311" s="3">
        <f>INDEX(Calendar_table[DATE],INT(((ROW()-ROW($B$4))/10))+1)</f>
        <v>46143</v>
      </c>
      <c r="C311" t="str">
        <f>INDEX(CATEGORIES_DIM[CATEGORY],MOD(ROW()-ROW($B$4),ROWS(CATEGORIES_DIM[CATEGORY]))+1)</f>
        <v>INVESMENT</v>
      </c>
    </row>
    <row r="312" spans="2:3" x14ac:dyDescent="0.25">
      <c r="B312" s="3">
        <f>INDEX(Calendar_table[DATE],INT(((ROW()-ROW($B$4))/10))+1)</f>
        <v>46143</v>
      </c>
      <c r="C312" t="str">
        <f>INDEX(CATEGORIES_DIM[CATEGORY],MOD(ROW()-ROW($B$4),ROWS(CATEGORIES_DIM[CATEGORY]))+1)</f>
        <v>WHIMS</v>
      </c>
    </row>
    <row r="313" spans="2:3" x14ac:dyDescent="0.25">
      <c r="B313" s="3">
        <f>INDEX(Calendar_table[DATE],INT(((ROW()-ROW($B$4))/10))+1)</f>
        <v>46143</v>
      </c>
      <c r="C313" t="str">
        <f>INDEX(CATEGORIES_DIM[CATEGORY],MOD(ROW()-ROW($B$4),ROWS(CATEGORIES_DIM[CATEGORY]))+1)</f>
        <v>GIFTS/CHARITY</v>
      </c>
    </row>
    <row r="314" spans="2:3" x14ac:dyDescent="0.25">
      <c r="B314" s="3">
        <f>INDEX(Calendar_table[DATE],INT(((ROW()-ROW($B$4))/10))+1)</f>
        <v>46144</v>
      </c>
      <c r="C314" t="str">
        <f>INDEX(CATEGORIES_DIM[CATEGORY],MOD(ROW()-ROW($B$4),ROWS(CATEGORIES_DIM[CATEGORY]))+1)</f>
        <v>RENT/SERVICES</v>
      </c>
    </row>
    <row r="315" spans="2:3" x14ac:dyDescent="0.25">
      <c r="B315" s="3">
        <f>INDEX(Calendar_table[DATE],INT(((ROW()-ROW($B$4))/10))+1)</f>
        <v>46144</v>
      </c>
      <c r="C315" t="str">
        <f>INDEX(CATEGORIES_DIM[CATEGORY],MOD(ROW()-ROW($B$4),ROWS(CATEGORIES_DIM[CATEGORY]))+1)</f>
        <v>FOOD</v>
      </c>
    </row>
    <row r="316" spans="2:3" x14ac:dyDescent="0.25">
      <c r="B316" s="3">
        <f>INDEX(Calendar_table[DATE],INT(((ROW()-ROW($B$4))/10))+1)</f>
        <v>46144</v>
      </c>
      <c r="C316" t="str">
        <f>INDEX(CATEGORIES_DIM[CATEGORY],MOD(ROW()-ROW($B$4),ROWS(CATEGORIES_DIM[CATEGORY]))+1)</f>
        <v>ENTRETAIMENT</v>
      </c>
    </row>
    <row r="317" spans="2:3" x14ac:dyDescent="0.25">
      <c r="B317" s="3">
        <f>INDEX(Calendar_table[DATE],INT(((ROW()-ROW($B$4))/10))+1)</f>
        <v>46144</v>
      </c>
      <c r="C317" t="str">
        <f>INDEX(CATEGORIES_DIM[CATEGORY],MOD(ROW()-ROW($B$4),ROWS(CATEGORIES_DIM[CATEGORY]))+1)</f>
        <v>HEALTH</v>
      </c>
    </row>
    <row r="318" spans="2:3" x14ac:dyDescent="0.25">
      <c r="B318" s="3">
        <f>INDEX(Calendar_table[DATE],INT(((ROW()-ROW($B$4))/10))+1)</f>
        <v>46144</v>
      </c>
      <c r="C318" t="str">
        <f>INDEX(CATEGORIES_DIM[CATEGORY],MOD(ROW()-ROW($B$4),ROWS(CATEGORIES_DIM[CATEGORY]))+1)</f>
        <v>EDUCATION</v>
      </c>
    </row>
    <row r="319" spans="2:3" x14ac:dyDescent="0.25">
      <c r="B319" s="3">
        <f>INDEX(Calendar_table[DATE],INT(((ROW()-ROW($B$4))/10))+1)</f>
        <v>46144</v>
      </c>
      <c r="C319" t="str">
        <f>INDEX(CATEGORIES_DIM[CATEGORY],MOD(ROW()-ROW($B$4),ROWS(CATEGORIES_DIM[CATEGORY]))+1)</f>
        <v>TRAVEL</v>
      </c>
    </row>
    <row r="320" spans="2:3" x14ac:dyDescent="0.25">
      <c r="B320" s="3">
        <f>INDEX(Calendar_table[DATE],INT(((ROW()-ROW($B$4))/10))+1)</f>
        <v>46144</v>
      </c>
      <c r="C320" t="str">
        <f>INDEX(CATEGORIES_DIM[CATEGORY],MOD(ROW()-ROW($B$4),ROWS(CATEGORIES_DIM[CATEGORY]))+1)</f>
        <v>EMERGENCIES</v>
      </c>
    </row>
    <row r="321" spans="2:3" x14ac:dyDescent="0.25">
      <c r="B321" s="3">
        <f>INDEX(Calendar_table[DATE],INT(((ROW()-ROW($B$4))/10))+1)</f>
        <v>46144</v>
      </c>
      <c r="C321" t="str">
        <f>INDEX(CATEGORIES_DIM[CATEGORY],MOD(ROW()-ROW($B$4),ROWS(CATEGORIES_DIM[CATEGORY]))+1)</f>
        <v>INVESMENT</v>
      </c>
    </row>
    <row r="322" spans="2:3" x14ac:dyDescent="0.25">
      <c r="B322" s="3">
        <f>INDEX(Calendar_table[DATE],INT(((ROW()-ROW($B$4))/10))+1)</f>
        <v>46144</v>
      </c>
      <c r="C322" t="str">
        <f>INDEX(CATEGORIES_DIM[CATEGORY],MOD(ROW()-ROW($B$4),ROWS(CATEGORIES_DIM[CATEGORY]))+1)</f>
        <v>WHIMS</v>
      </c>
    </row>
    <row r="323" spans="2:3" x14ac:dyDescent="0.25">
      <c r="B323" s="3">
        <f>INDEX(Calendar_table[DATE],INT(((ROW()-ROW($B$4))/10))+1)</f>
        <v>46144</v>
      </c>
      <c r="C323" t="str">
        <f>INDEX(CATEGORIES_DIM[CATEGORY],MOD(ROW()-ROW($B$4),ROWS(CATEGORIES_DIM[CATEGORY]))+1)</f>
        <v>GIFTS/CHARITY</v>
      </c>
    </row>
    <row r="324" spans="2:3" x14ac:dyDescent="0.25">
      <c r="B324" s="3">
        <f>INDEX(Calendar_table[DATE],INT(((ROW()-ROW($B$4))/10))+1)</f>
        <v>46145</v>
      </c>
      <c r="C324" t="str">
        <f>INDEX(CATEGORIES_DIM[CATEGORY],MOD(ROW()-ROW($B$4),ROWS(CATEGORIES_DIM[CATEGORY]))+1)</f>
        <v>RENT/SERVICES</v>
      </c>
    </row>
    <row r="325" spans="2:3" x14ac:dyDescent="0.25">
      <c r="B325" s="3">
        <f>INDEX(Calendar_table[DATE],INT(((ROW()-ROW($B$4))/10))+1)</f>
        <v>46145</v>
      </c>
      <c r="C325" t="str">
        <f>INDEX(CATEGORIES_DIM[CATEGORY],MOD(ROW()-ROW($B$4),ROWS(CATEGORIES_DIM[CATEGORY]))+1)</f>
        <v>FOOD</v>
      </c>
    </row>
    <row r="326" spans="2:3" x14ac:dyDescent="0.25">
      <c r="B326" s="3">
        <f>INDEX(Calendar_table[DATE],INT(((ROW()-ROW($B$4))/10))+1)</f>
        <v>46145</v>
      </c>
      <c r="C326" t="str">
        <f>INDEX(CATEGORIES_DIM[CATEGORY],MOD(ROW()-ROW($B$4),ROWS(CATEGORIES_DIM[CATEGORY]))+1)</f>
        <v>ENTRETAIMENT</v>
      </c>
    </row>
    <row r="327" spans="2:3" x14ac:dyDescent="0.25">
      <c r="B327" s="3">
        <f>INDEX(Calendar_table[DATE],INT(((ROW()-ROW($B$4))/10))+1)</f>
        <v>46145</v>
      </c>
      <c r="C327" t="str">
        <f>INDEX(CATEGORIES_DIM[CATEGORY],MOD(ROW()-ROW($B$4),ROWS(CATEGORIES_DIM[CATEGORY]))+1)</f>
        <v>HEALTH</v>
      </c>
    </row>
    <row r="328" spans="2:3" x14ac:dyDescent="0.25">
      <c r="B328" s="3">
        <f>INDEX(Calendar_table[DATE],INT(((ROW()-ROW($B$4))/10))+1)</f>
        <v>46145</v>
      </c>
      <c r="C328" t="str">
        <f>INDEX(CATEGORIES_DIM[CATEGORY],MOD(ROW()-ROW($B$4),ROWS(CATEGORIES_DIM[CATEGORY]))+1)</f>
        <v>EDUCATION</v>
      </c>
    </row>
    <row r="329" spans="2:3" x14ac:dyDescent="0.25">
      <c r="B329" s="3">
        <f>INDEX(Calendar_table[DATE],INT(((ROW()-ROW($B$4))/10))+1)</f>
        <v>46145</v>
      </c>
      <c r="C329" t="str">
        <f>INDEX(CATEGORIES_DIM[CATEGORY],MOD(ROW()-ROW($B$4),ROWS(CATEGORIES_DIM[CATEGORY]))+1)</f>
        <v>TRAVEL</v>
      </c>
    </row>
    <row r="330" spans="2:3" x14ac:dyDescent="0.25">
      <c r="B330" s="3">
        <f>INDEX(Calendar_table[DATE],INT(((ROW()-ROW($B$4))/10))+1)</f>
        <v>46145</v>
      </c>
      <c r="C330" t="str">
        <f>INDEX(CATEGORIES_DIM[CATEGORY],MOD(ROW()-ROW($B$4),ROWS(CATEGORIES_DIM[CATEGORY]))+1)</f>
        <v>EMERGENCIES</v>
      </c>
    </row>
    <row r="331" spans="2:3" x14ac:dyDescent="0.25">
      <c r="B331" s="3">
        <f>INDEX(Calendar_table[DATE],INT(((ROW()-ROW($B$4))/10))+1)</f>
        <v>46145</v>
      </c>
      <c r="C331" t="str">
        <f>INDEX(CATEGORIES_DIM[CATEGORY],MOD(ROW()-ROW($B$4),ROWS(CATEGORIES_DIM[CATEGORY]))+1)</f>
        <v>INVESMENT</v>
      </c>
    </row>
    <row r="332" spans="2:3" x14ac:dyDescent="0.25">
      <c r="B332" s="3">
        <f>INDEX(Calendar_table[DATE],INT(((ROW()-ROW($B$4))/10))+1)</f>
        <v>46145</v>
      </c>
      <c r="C332" t="str">
        <f>INDEX(CATEGORIES_DIM[CATEGORY],MOD(ROW()-ROW($B$4),ROWS(CATEGORIES_DIM[CATEGORY]))+1)</f>
        <v>WHIMS</v>
      </c>
    </row>
    <row r="333" spans="2:3" x14ac:dyDescent="0.25">
      <c r="B333" s="3">
        <f>INDEX(Calendar_table[DATE],INT(((ROW()-ROW($B$4))/10))+1)</f>
        <v>46145</v>
      </c>
      <c r="C333" t="str">
        <f>INDEX(CATEGORIES_DIM[CATEGORY],MOD(ROW()-ROW($B$4),ROWS(CATEGORIES_DIM[CATEGORY]))+1)</f>
        <v>GIFTS/CHARITY</v>
      </c>
    </row>
    <row r="334" spans="2:3" x14ac:dyDescent="0.25">
      <c r="B334" s="3">
        <f>INDEX(Calendar_table[DATE],INT(((ROW()-ROW($B$4))/10))+1)</f>
        <v>46146</v>
      </c>
      <c r="C334" t="str">
        <f>INDEX(CATEGORIES_DIM[CATEGORY],MOD(ROW()-ROW($B$4),ROWS(CATEGORIES_DIM[CATEGORY]))+1)</f>
        <v>RENT/SERVICES</v>
      </c>
    </row>
    <row r="335" spans="2:3" x14ac:dyDescent="0.25">
      <c r="B335" s="3">
        <f>INDEX(Calendar_table[DATE],INT(((ROW()-ROW($B$4))/10))+1)</f>
        <v>46146</v>
      </c>
      <c r="C335" t="str">
        <f>INDEX(CATEGORIES_DIM[CATEGORY],MOD(ROW()-ROW($B$4),ROWS(CATEGORIES_DIM[CATEGORY]))+1)</f>
        <v>FOOD</v>
      </c>
    </row>
    <row r="336" spans="2:3" x14ac:dyDescent="0.25">
      <c r="B336" s="3">
        <f>INDEX(Calendar_table[DATE],INT(((ROW()-ROW($B$4))/10))+1)</f>
        <v>46146</v>
      </c>
      <c r="C336" t="str">
        <f>INDEX(CATEGORIES_DIM[CATEGORY],MOD(ROW()-ROW($B$4),ROWS(CATEGORIES_DIM[CATEGORY]))+1)</f>
        <v>ENTRETAIMENT</v>
      </c>
    </row>
    <row r="337" spans="2:3" x14ac:dyDescent="0.25">
      <c r="B337" s="3">
        <f>INDEX(Calendar_table[DATE],INT(((ROW()-ROW($B$4))/10))+1)</f>
        <v>46146</v>
      </c>
      <c r="C337" t="str">
        <f>INDEX(CATEGORIES_DIM[CATEGORY],MOD(ROW()-ROW($B$4),ROWS(CATEGORIES_DIM[CATEGORY]))+1)</f>
        <v>HEALTH</v>
      </c>
    </row>
    <row r="338" spans="2:3" x14ac:dyDescent="0.25">
      <c r="B338" s="3">
        <f>INDEX(Calendar_table[DATE],INT(((ROW()-ROW($B$4))/10))+1)</f>
        <v>46146</v>
      </c>
      <c r="C338" t="str">
        <f>INDEX(CATEGORIES_DIM[CATEGORY],MOD(ROW()-ROW($B$4),ROWS(CATEGORIES_DIM[CATEGORY]))+1)</f>
        <v>EDUCATION</v>
      </c>
    </row>
    <row r="339" spans="2:3" x14ac:dyDescent="0.25">
      <c r="B339" s="3">
        <f>INDEX(Calendar_table[DATE],INT(((ROW()-ROW($B$4))/10))+1)</f>
        <v>46146</v>
      </c>
      <c r="C339" t="str">
        <f>INDEX(CATEGORIES_DIM[CATEGORY],MOD(ROW()-ROW($B$4),ROWS(CATEGORIES_DIM[CATEGORY]))+1)</f>
        <v>TRAVEL</v>
      </c>
    </row>
    <row r="340" spans="2:3" x14ac:dyDescent="0.25">
      <c r="B340" s="3">
        <f>INDEX(Calendar_table[DATE],INT(((ROW()-ROW($B$4))/10))+1)</f>
        <v>46146</v>
      </c>
      <c r="C340" t="str">
        <f>INDEX(CATEGORIES_DIM[CATEGORY],MOD(ROW()-ROW($B$4),ROWS(CATEGORIES_DIM[CATEGORY]))+1)</f>
        <v>EMERGENCIES</v>
      </c>
    </row>
    <row r="341" spans="2:3" x14ac:dyDescent="0.25">
      <c r="B341" s="3">
        <f>INDEX(Calendar_table[DATE],INT(((ROW()-ROW($B$4))/10))+1)</f>
        <v>46146</v>
      </c>
      <c r="C341" t="str">
        <f>INDEX(CATEGORIES_DIM[CATEGORY],MOD(ROW()-ROW($B$4),ROWS(CATEGORIES_DIM[CATEGORY]))+1)</f>
        <v>INVESMENT</v>
      </c>
    </row>
    <row r="342" spans="2:3" x14ac:dyDescent="0.25">
      <c r="B342" s="3">
        <f>INDEX(Calendar_table[DATE],INT(((ROW()-ROW($B$4))/10))+1)</f>
        <v>46146</v>
      </c>
      <c r="C342" t="str">
        <f>INDEX(CATEGORIES_DIM[CATEGORY],MOD(ROW()-ROW($B$4),ROWS(CATEGORIES_DIM[CATEGORY]))+1)</f>
        <v>WHIMS</v>
      </c>
    </row>
    <row r="343" spans="2:3" x14ac:dyDescent="0.25">
      <c r="B343" s="3">
        <f>INDEX(Calendar_table[DATE],INT(((ROW()-ROW($B$4))/10))+1)</f>
        <v>46146</v>
      </c>
      <c r="C343" t="str">
        <f>INDEX(CATEGORIES_DIM[CATEGORY],MOD(ROW()-ROW($B$4),ROWS(CATEGORIES_DIM[CATEGORY]))+1)</f>
        <v>GIFTS/CHARITY</v>
      </c>
    </row>
    <row r="344" spans="2:3" x14ac:dyDescent="0.25">
      <c r="B344" s="3">
        <f>INDEX(Calendar_table[DATE],INT(((ROW()-ROW($B$4))/10))+1)</f>
        <v>46147</v>
      </c>
      <c r="C344" t="str">
        <f>INDEX(CATEGORIES_DIM[CATEGORY],MOD(ROW()-ROW($B$4),ROWS(CATEGORIES_DIM[CATEGORY]))+1)</f>
        <v>RENT/SERVICES</v>
      </c>
    </row>
    <row r="345" spans="2:3" x14ac:dyDescent="0.25">
      <c r="B345" s="3">
        <f>INDEX(Calendar_table[DATE],INT(((ROW()-ROW($B$4))/10))+1)</f>
        <v>46147</v>
      </c>
      <c r="C345" t="str">
        <f>INDEX(CATEGORIES_DIM[CATEGORY],MOD(ROW()-ROW($B$4),ROWS(CATEGORIES_DIM[CATEGORY]))+1)</f>
        <v>FOOD</v>
      </c>
    </row>
    <row r="346" spans="2:3" x14ac:dyDescent="0.25">
      <c r="B346" s="3">
        <f>INDEX(Calendar_table[DATE],INT(((ROW()-ROW($B$4))/10))+1)</f>
        <v>46147</v>
      </c>
      <c r="C346" t="str">
        <f>INDEX(CATEGORIES_DIM[CATEGORY],MOD(ROW()-ROW($B$4),ROWS(CATEGORIES_DIM[CATEGORY]))+1)</f>
        <v>ENTRETAIMENT</v>
      </c>
    </row>
    <row r="347" spans="2:3" x14ac:dyDescent="0.25">
      <c r="B347" s="3">
        <f>INDEX(Calendar_table[DATE],INT(((ROW()-ROW($B$4))/10))+1)</f>
        <v>46147</v>
      </c>
      <c r="C347" t="str">
        <f>INDEX(CATEGORIES_DIM[CATEGORY],MOD(ROW()-ROW($B$4),ROWS(CATEGORIES_DIM[CATEGORY]))+1)</f>
        <v>HEALTH</v>
      </c>
    </row>
    <row r="348" spans="2:3" x14ac:dyDescent="0.25">
      <c r="B348" s="3">
        <f>INDEX(Calendar_table[DATE],INT(((ROW()-ROW($B$4))/10))+1)</f>
        <v>46147</v>
      </c>
      <c r="C348" t="str">
        <f>INDEX(CATEGORIES_DIM[CATEGORY],MOD(ROW()-ROW($B$4),ROWS(CATEGORIES_DIM[CATEGORY]))+1)</f>
        <v>EDUCATION</v>
      </c>
    </row>
    <row r="349" spans="2:3" x14ac:dyDescent="0.25">
      <c r="B349" s="3">
        <f>INDEX(Calendar_table[DATE],INT(((ROW()-ROW($B$4))/10))+1)</f>
        <v>46147</v>
      </c>
      <c r="C349" t="str">
        <f>INDEX(CATEGORIES_DIM[CATEGORY],MOD(ROW()-ROW($B$4),ROWS(CATEGORIES_DIM[CATEGORY]))+1)</f>
        <v>TRAVEL</v>
      </c>
    </row>
    <row r="350" spans="2:3" x14ac:dyDescent="0.25">
      <c r="B350" s="3">
        <f>INDEX(Calendar_table[DATE],INT(((ROW()-ROW($B$4))/10))+1)</f>
        <v>46147</v>
      </c>
      <c r="C350" t="str">
        <f>INDEX(CATEGORIES_DIM[CATEGORY],MOD(ROW()-ROW($B$4),ROWS(CATEGORIES_DIM[CATEGORY]))+1)</f>
        <v>EMERGENCIES</v>
      </c>
    </row>
    <row r="351" spans="2:3" x14ac:dyDescent="0.25">
      <c r="B351" s="3">
        <f>INDEX(Calendar_table[DATE],INT(((ROW()-ROW($B$4))/10))+1)</f>
        <v>46147</v>
      </c>
      <c r="C351" t="str">
        <f>INDEX(CATEGORIES_DIM[CATEGORY],MOD(ROW()-ROW($B$4),ROWS(CATEGORIES_DIM[CATEGORY]))+1)</f>
        <v>INVESMENT</v>
      </c>
    </row>
    <row r="352" spans="2:3" x14ac:dyDescent="0.25">
      <c r="B352" s="3">
        <f>INDEX(Calendar_table[DATE],INT(((ROW()-ROW($B$4))/10))+1)</f>
        <v>46147</v>
      </c>
      <c r="C352" t="str">
        <f>INDEX(CATEGORIES_DIM[CATEGORY],MOD(ROW()-ROW($B$4),ROWS(CATEGORIES_DIM[CATEGORY]))+1)</f>
        <v>WHIMS</v>
      </c>
    </row>
    <row r="353" spans="2:3" x14ac:dyDescent="0.25">
      <c r="B353" s="3">
        <f>INDEX(Calendar_table[DATE],INT(((ROW()-ROW($B$4))/10))+1)</f>
        <v>46147</v>
      </c>
      <c r="C353" t="str">
        <f>INDEX(CATEGORIES_DIM[CATEGORY],MOD(ROW()-ROW($B$4),ROWS(CATEGORIES_DIM[CATEGORY]))+1)</f>
        <v>GIFTS/CHARITY</v>
      </c>
    </row>
    <row r="354" spans="2:3" x14ac:dyDescent="0.25">
      <c r="B354" s="3">
        <f>INDEX(Calendar_table[DATE],INT(((ROW()-ROW($B$4))/10))+1)</f>
        <v>46148</v>
      </c>
      <c r="C354" t="str">
        <f>INDEX(CATEGORIES_DIM[CATEGORY],MOD(ROW()-ROW($B$4),ROWS(CATEGORIES_DIM[CATEGORY]))+1)</f>
        <v>RENT/SERVICES</v>
      </c>
    </row>
    <row r="355" spans="2:3" x14ac:dyDescent="0.25">
      <c r="B355" s="3">
        <f>INDEX(Calendar_table[DATE],INT(((ROW()-ROW($B$4))/10))+1)</f>
        <v>46148</v>
      </c>
      <c r="C355" t="str">
        <f>INDEX(CATEGORIES_DIM[CATEGORY],MOD(ROW()-ROW($B$4),ROWS(CATEGORIES_DIM[CATEGORY]))+1)</f>
        <v>FOOD</v>
      </c>
    </row>
    <row r="356" spans="2:3" x14ac:dyDescent="0.25">
      <c r="B356" s="3">
        <f>INDEX(Calendar_table[DATE],INT(((ROW()-ROW($B$4))/10))+1)</f>
        <v>46148</v>
      </c>
      <c r="C356" t="str">
        <f>INDEX(CATEGORIES_DIM[CATEGORY],MOD(ROW()-ROW($B$4),ROWS(CATEGORIES_DIM[CATEGORY]))+1)</f>
        <v>ENTRETAIMENT</v>
      </c>
    </row>
    <row r="357" spans="2:3" x14ac:dyDescent="0.25">
      <c r="B357" s="3">
        <f>INDEX(Calendar_table[DATE],INT(((ROW()-ROW($B$4))/10))+1)</f>
        <v>46148</v>
      </c>
      <c r="C357" t="str">
        <f>INDEX(CATEGORIES_DIM[CATEGORY],MOD(ROW()-ROW($B$4),ROWS(CATEGORIES_DIM[CATEGORY]))+1)</f>
        <v>HEALTH</v>
      </c>
    </row>
    <row r="358" spans="2:3" x14ac:dyDescent="0.25">
      <c r="B358" s="3">
        <f>INDEX(Calendar_table[DATE],INT(((ROW()-ROW($B$4))/10))+1)</f>
        <v>46148</v>
      </c>
      <c r="C358" t="str">
        <f>INDEX(CATEGORIES_DIM[CATEGORY],MOD(ROW()-ROW($B$4),ROWS(CATEGORIES_DIM[CATEGORY]))+1)</f>
        <v>EDUCATION</v>
      </c>
    </row>
    <row r="359" spans="2:3" x14ac:dyDescent="0.25">
      <c r="B359" s="3">
        <f>INDEX(Calendar_table[DATE],INT(((ROW()-ROW($B$4))/10))+1)</f>
        <v>46148</v>
      </c>
      <c r="C359" t="str">
        <f>INDEX(CATEGORIES_DIM[CATEGORY],MOD(ROW()-ROW($B$4),ROWS(CATEGORIES_DIM[CATEGORY]))+1)</f>
        <v>TRAVEL</v>
      </c>
    </row>
    <row r="360" spans="2:3" x14ac:dyDescent="0.25">
      <c r="B360" s="3">
        <f>INDEX(Calendar_table[DATE],INT(((ROW()-ROW($B$4))/10))+1)</f>
        <v>46148</v>
      </c>
      <c r="C360" t="str">
        <f>INDEX(CATEGORIES_DIM[CATEGORY],MOD(ROW()-ROW($B$4),ROWS(CATEGORIES_DIM[CATEGORY]))+1)</f>
        <v>EMERGENCIES</v>
      </c>
    </row>
    <row r="361" spans="2:3" x14ac:dyDescent="0.25">
      <c r="B361" s="3">
        <f>INDEX(Calendar_table[DATE],INT(((ROW()-ROW($B$4))/10))+1)</f>
        <v>46148</v>
      </c>
      <c r="C361" t="str">
        <f>INDEX(CATEGORIES_DIM[CATEGORY],MOD(ROW()-ROW($B$4),ROWS(CATEGORIES_DIM[CATEGORY]))+1)</f>
        <v>INVESMENT</v>
      </c>
    </row>
    <row r="362" spans="2:3" x14ac:dyDescent="0.25">
      <c r="B362" s="3">
        <f>INDEX(Calendar_table[DATE],INT(((ROW()-ROW($B$4))/10))+1)</f>
        <v>46148</v>
      </c>
      <c r="C362" t="str">
        <f>INDEX(CATEGORIES_DIM[CATEGORY],MOD(ROW()-ROW($B$4),ROWS(CATEGORIES_DIM[CATEGORY]))+1)</f>
        <v>WHIMS</v>
      </c>
    </row>
    <row r="363" spans="2:3" x14ac:dyDescent="0.25">
      <c r="B363" s="3">
        <f>INDEX(Calendar_table[DATE],INT(((ROW()-ROW($B$4))/10))+1)</f>
        <v>46148</v>
      </c>
      <c r="C363" t="str">
        <f>INDEX(CATEGORIES_DIM[CATEGORY],MOD(ROW()-ROW($B$4),ROWS(CATEGORIES_DIM[CATEGORY]))+1)</f>
        <v>GIFTS/CHARITY</v>
      </c>
    </row>
    <row r="364" spans="2:3" x14ac:dyDescent="0.25">
      <c r="B364" s="3">
        <f>INDEX(Calendar_table[DATE],INT(((ROW()-ROW($B$4))/10))+1)</f>
        <v>46149</v>
      </c>
      <c r="C364" t="str">
        <f>INDEX(CATEGORIES_DIM[CATEGORY],MOD(ROW()-ROW($B$4),ROWS(CATEGORIES_DIM[CATEGORY]))+1)</f>
        <v>RENT/SERVICES</v>
      </c>
    </row>
    <row r="365" spans="2:3" x14ac:dyDescent="0.25">
      <c r="B365" s="3">
        <f>INDEX(Calendar_table[DATE],INT(((ROW()-ROW($B$4))/10))+1)</f>
        <v>46149</v>
      </c>
      <c r="C365" t="str">
        <f>INDEX(CATEGORIES_DIM[CATEGORY],MOD(ROW()-ROW($B$4),ROWS(CATEGORIES_DIM[CATEGORY]))+1)</f>
        <v>FOOD</v>
      </c>
    </row>
    <row r="366" spans="2:3" x14ac:dyDescent="0.25">
      <c r="B366" s="3">
        <f>INDEX(Calendar_table[DATE],INT(((ROW()-ROW($B$4))/10))+1)</f>
        <v>46149</v>
      </c>
      <c r="C366" t="str">
        <f>INDEX(CATEGORIES_DIM[CATEGORY],MOD(ROW()-ROW($B$4),ROWS(CATEGORIES_DIM[CATEGORY]))+1)</f>
        <v>ENTRETAIMENT</v>
      </c>
    </row>
    <row r="367" spans="2:3" x14ac:dyDescent="0.25">
      <c r="B367" s="3">
        <f>INDEX(Calendar_table[DATE],INT(((ROW()-ROW($B$4))/10))+1)</f>
        <v>46149</v>
      </c>
      <c r="C367" t="str">
        <f>INDEX(CATEGORIES_DIM[CATEGORY],MOD(ROW()-ROW($B$4),ROWS(CATEGORIES_DIM[CATEGORY]))+1)</f>
        <v>HEALTH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1"/>
  <sheetViews>
    <sheetView workbookViewId="0">
      <selection activeCell="L7" sqref="L7"/>
    </sheetView>
  </sheetViews>
  <sheetFormatPr baseColWidth="10" defaultRowHeight="15" x14ac:dyDescent="0.25"/>
  <cols>
    <col min="2" max="2" width="15.7109375" customWidth="1"/>
    <col min="3" max="3" width="20.42578125" customWidth="1"/>
    <col min="4" max="4" width="12.7109375" customWidth="1"/>
    <col min="5" max="5" width="17" customWidth="1"/>
    <col min="6" max="6" width="18.28515625" customWidth="1"/>
    <col min="7" max="7" width="17.7109375" customWidth="1"/>
    <col min="8" max="8" width="14.5703125" customWidth="1"/>
    <col min="10" max="10" width="22.42578125" customWidth="1"/>
    <col min="11" max="11" width="19" customWidth="1"/>
  </cols>
  <sheetData>
    <row r="3" spans="2:11" x14ac:dyDescent="0.25">
      <c r="B3" t="s">
        <v>27</v>
      </c>
      <c r="C3" t="s">
        <v>33</v>
      </c>
      <c r="D3" t="s">
        <v>1</v>
      </c>
      <c r="E3" t="s">
        <v>29</v>
      </c>
      <c r="F3" t="s">
        <v>28</v>
      </c>
      <c r="G3" t="s">
        <v>38</v>
      </c>
      <c r="I3" t="s">
        <v>3</v>
      </c>
      <c r="J3" t="s">
        <v>30</v>
      </c>
      <c r="K3" t="s">
        <v>4</v>
      </c>
    </row>
    <row r="4" spans="2:11" x14ac:dyDescent="0.25">
      <c r="B4" s="3">
        <f>DATE(2026,INT((ROW()-ROW($B$4))/10)+4,1)</f>
        <v>46113</v>
      </c>
      <c r="C4">
        <f>VLOOKUP(Facts_Cat_table[[#This Row],[DATE_MONTH]],Incomes_table[],4,FALSE)</f>
        <v>18700</v>
      </c>
      <c r="D4" t="str">
        <f>INDEX(CATEGORIES_DIM[CATEGORY],MOD(ROW()-ROW($B$4),ROWS(CATEGORIES_DIM[CATEGORY]))+1)</f>
        <v>RENT/SERVICES</v>
      </c>
      <c r="E4">
        <f>INDEX(CATEGORIES_DIM[PTC],MATCH(Facts_Cat_table[[#This Row],[CATEGORY]],CATEGORIES_DIM[CATEGORY],0))*Facts_Cat_table[[#This Row],[MONTHLY_INCOME]]</f>
        <v>5610</v>
      </c>
      <c r="F4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
)</f>
        <v>3000</v>
      </c>
      <c r="G4">
        <f>Facts_Cat_table[[#This Row],[INCOME_P/CAT]]-Facts_Cat_table[[#This Row],[EXPENSES_P/CAT]]</f>
        <v>2610</v>
      </c>
      <c r="I4" s="3">
        <v>46113</v>
      </c>
      <c r="J4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7633</v>
      </c>
      <c r="K4">
        <f>J4</f>
        <v>7633</v>
      </c>
    </row>
    <row r="5" spans="2:11" x14ac:dyDescent="0.25">
      <c r="B5" s="3">
        <f t="shared" ref="B5:B41" si="0">DATE(2026,INT((ROW()-ROW($B$4))/10)+4,1)</f>
        <v>46113</v>
      </c>
      <c r="C5">
        <f>VLOOKUP(Facts_Cat_table[[#This Row],[DATE_MONTH]],Incomes_table[],4,FALSE)</f>
        <v>18700</v>
      </c>
      <c r="D5" t="str">
        <f>INDEX(CATEGORIES_DIM[CATEGORY],MOD(ROW()-ROW($B$4),ROWS(CATEGORIES_DIM[CATEGORY]))+1)</f>
        <v>FOOD</v>
      </c>
      <c r="E5">
        <f>INDEX(CATEGORIES_DIM[PTC],MATCH(Facts_Cat_table[[#This Row],[CATEGORY]],CATEGORIES_DIM[CATEGORY],0))*Facts_Cat_table[[#This Row],[MONTHLY_INCOME]]</f>
        <v>3740</v>
      </c>
      <c r="F5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
)</f>
        <v>3058</v>
      </c>
      <c r="G5">
        <f>Facts_Cat_table[[#This Row],[INCOME_P/CAT]]-Facts_Cat_table[[#This Row],[EXPENSES_P/CAT]]</f>
        <v>682</v>
      </c>
      <c r="I5" s="3">
        <v>46143</v>
      </c>
      <c r="J5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9000</v>
      </c>
      <c r="K5">
        <f>SUM($J$4:J5)</f>
        <v>16633</v>
      </c>
    </row>
    <row r="6" spans="2:11" x14ac:dyDescent="0.25">
      <c r="B6" s="3">
        <f t="shared" si="0"/>
        <v>46113</v>
      </c>
      <c r="C6">
        <f>VLOOKUP(Facts_Cat_table[[#This Row],[DATE_MONTH]],Incomes_table[],4,FALSE)</f>
        <v>18700</v>
      </c>
      <c r="D6" t="str">
        <f>INDEX(CATEGORIES_DIM[CATEGORY],MOD(ROW()-ROW($B$4),ROWS(CATEGORIES_DIM[CATEGORY]))+1)</f>
        <v>ENTRETAIMENT</v>
      </c>
      <c r="E6">
        <f>INDEX(CATEGORIES_DIM[PTC],MATCH(Facts_Cat_table[[#This Row],[CATEGORY]],CATEGORIES_DIM[CATEGORY],0))*Facts_Cat_table[[#This Row],[MONTHLY_INCOME]]</f>
        <v>2805</v>
      </c>
      <c r="F6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
)</f>
        <v>2189</v>
      </c>
      <c r="G6">
        <f>Facts_Cat_table[[#This Row],[INCOME_P/CAT]]-Facts_Cat_table[[#This Row],[EXPENSES_P/CAT]]</f>
        <v>616</v>
      </c>
      <c r="I6" s="3">
        <v>46174</v>
      </c>
      <c r="J6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0</v>
      </c>
      <c r="K6">
        <f>SUM($J$4:J6)</f>
        <v>16633</v>
      </c>
    </row>
    <row r="7" spans="2:11" x14ac:dyDescent="0.25">
      <c r="B7" s="3">
        <f t="shared" si="0"/>
        <v>46113</v>
      </c>
      <c r="C7">
        <f>VLOOKUP(Facts_Cat_table[[#This Row],[DATE_MONTH]],Incomes_table[],4,FALSE)</f>
        <v>18700</v>
      </c>
      <c r="D7" t="str">
        <f>INDEX(CATEGORIES_DIM[CATEGORY],MOD(ROW()-ROW($B$4),ROWS(CATEGORIES_DIM[CATEGORY]))+1)</f>
        <v>HEALTH</v>
      </c>
      <c r="E7">
        <f>INDEX(CATEGORIES_DIM[PTC],MATCH(Facts_Cat_table[[#This Row],[CATEGORY]],CATEGORIES_DIM[CATEGORY],0))*Facts_Cat_table[[#This Row],[MONTHLY_INCOME]]</f>
        <v>467.5</v>
      </c>
      <c r="F7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400</v>
      </c>
      <c r="G7">
        <f>Facts_Cat_table[[#This Row],[INCOME_P/CAT]]-Facts_Cat_table[[#This Row],[EXPENSES_P/CAT]]</f>
        <v>67.5</v>
      </c>
      <c r="I7" s="3">
        <v>46204</v>
      </c>
      <c r="J7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0</v>
      </c>
      <c r="K7">
        <f>SUM($J$4:J7)</f>
        <v>16633</v>
      </c>
    </row>
    <row r="8" spans="2:11" x14ac:dyDescent="0.25">
      <c r="B8" s="3">
        <f t="shared" si="0"/>
        <v>46113</v>
      </c>
      <c r="C8">
        <f>VLOOKUP(Facts_Cat_table[[#This Row],[DATE_MONTH]],Incomes_table[],4,FALSE)</f>
        <v>18700</v>
      </c>
      <c r="D8" t="str">
        <f>INDEX(CATEGORIES_DIM[CATEGORY],MOD(ROW()-ROW($B$4),ROWS(CATEGORIES_DIM[CATEGORY]))+1)</f>
        <v>EDUCATION</v>
      </c>
      <c r="E8">
        <f>INDEX(CATEGORIES_DIM[PTC],MATCH(Facts_Cat_table[[#This Row],[CATEGORY]],CATEGORIES_DIM[CATEGORY],0))*Facts_Cat_table[[#This Row],[MONTHLY_INCOME]]</f>
        <v>935</v>
      </c>
      <c r="F8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8">
        <f>Facts_Cat_table[[#This Row],[INCOME_P/CAT]]-Facts_Cat_table[[#This Row],[EXPENSES_P/CAT]]</f>
        <v>935</v>
      </c>
      <c r="I8" s="3">
        <v>46235</v>
      </c>
      <c r="J8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8" t="e">
        <f>SUM($J$4:J8)</f>
        <v>#N/A</v>
      </c>
    </row>
    <row r="9" spans="2:11" x14ac:dyDescent="0.25">
      <c r="B9" s="3">
        <f t="shared" si="0"/>
        <v>46113</v>
      </c>
      <c r="C9">
        <f>VLOOKUP(Facts_Cat_table[[#This Row],[DATE_MONTH]],Incomes_table[],4,FALSE)</f>
        <v>18700</v>
      </c>
      <c r="D9" t="str">
        <f>INDEX(CATEGORIES_DIM[CATEGORY],MOD(ROW()-ROW($B$4),ROWS(CATEGORIES_DIM[CATEGORY]))+1)</f>
        <v>TRAVEL</v>
      </c>
      <c r="E9">
        <f>INDEX(CATEGORIES_DIM[PTC],MATCH(Facts_Cat_table[[#This Row],[CATEGORY]],CATEGORIES_DIM[CATEGORY],0))*Facts_Cat_table[[#This Row],[MONTHLY_INCOME]]</f>
        <v>1870</v>
      </c>
      <c r="F9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9">
        <f>Facts_Cat_table[[#This Row],[INCOME_P/CAT]]-Facts_Cat_table[[#This Row],[EXPENSES_P/CAT]]</f>
        <v>1870</v>
      </c>
      <c r="I9" s="3">
        <v>46266</v>
      </c>
      <c r="J9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9" t="e">
        <f>SUM($J$4:J9)</f>
        <v>#N/A</v>
      </c>
    </row>
    <row r="10" spans="2:11" x14ac:dyDescent="0.25">
      <c r="B10" s="3">
        <f t="shared" si="0"/>
        <v>46113</v>
      </c>
      <c r="C10">
        <f>VLOOKUP(Facts_Cat_table[[#This Row],[DATE_MONTH]],Incomes_table[],4,FALSE)</f>
        <v>18700</v>
      </c>
      <c r="D10" t="str">
        <f>INDEX(CATEGORIES_DIM[CATEGORY],MOD(ROW()-ROW($B$4),ROWS(CATEGORIES_DIM[CATEGORY]))+1)</f>
        <v>EMERGENCIES</v>
      </c>
      <c r="E10">
        <f>INDEX(CATEGORIES_DIM[PTC],MATCH(Facts_Cat_table[[#This Row],[CATEGORY]],CATEGORIES_DIM[CATEGORY],0))*Facts_Cat_table[[#This Row],[MONTHLY_INCOME]]</f>
        <v>935</v>
      </c>
      <c r="F10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0">
        <f>Facts_Cat_table[[#This Row],[INCOME_P/CAT]]-Facts_Cat_table[[#This Row],[EXPENSES_P/CAT]]</f>
        <v>935</v>
      </c>
      <c r="I10" s="3">
        <v>46296</v>
      </c>
      <c r="J10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0" t="e">
        <f>SUM($J$4:J10)</f>
        <v>#N/A</v>
      </c>
    </row>
    <row r="11" spans="2:11" x14ac:dyDescent="0.25">
      <c r="B11" s="3">
        <f t="shared" si="0"/>
        <v>46113</v>
      </c>
      <c r="C11">
        <f>VLOOKUP(Facts_Cat_table[[#This Row],[DATE_MONTH]],Incomes_table[],4,FALSE)</f>
        <v>18700</v>
      </c>
      <c r="D11" t="str">
        <f>INDEX(CATEGORIES_DIM[CATEGORY],MOD(ROW()-ROW($B$4),ROWS(CATEGORIES_DIM[CATEGORY]))+1)</f>
        <v>INVESMENT</v>
      </c>
      <c r="E11">
        <f>INDEX(CATEGORIES_DIM[PTC],MATCH(Facts_Cat_table[[#This Row],[CATEGORY]],CATEGORIES_DIM[CATEGORY],0))*Facts_Cat_table[[#This Row],[MONTHLY_INCOME]]</f>
        <v>935</v>
      </c>
      <c r="F11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1">
        <f>Facts_Cat_table[[#This Row],[INCOME_P/CAT]]-Facts_Cat_table[[#This Row],[EXPENSES_P/CAT]]</f>
        <v>935</v>
      </c>
      <c r="I11" s="3">
        <v>46327</v>
      </c>
      <c r="J11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1" t="e">
        <f>SUM($J$4:J11)</f>
        <v>#N/A</v>
      </c>
    </row>
    <row r="12" spans="2:11" x14ac:dyDescent="0.25">
      <c r="B12" s="3">
        <f t="shared" si="0"/>
        <v>46113</v>
      </c>
      <c r="C12">
        <f>VLOOKUP(Facts_Cat_table[[#This Row],[DATE_MONTH]],Incomes_table[],4,FALSE)</f>
        <v>18700</v>
      </c>
      <c r="D12" t="str">
        <f>INDEX(CATEGORIES_DIM[CATEGORY],MOD(ROW()-ROW($B$4),ROWS(CATEGORIES_DIM[CATEGORY]))+1)</f>
        <v>WHIMS</v>
      </c>
      <c r="E12">
        <f>INDEX(CATEGORIES_DIM[PTC],MATCH(Facts_Cat_table[[#This Row],[CATEGORY]],CATEGORIES_DIM[CATEGORY],0))*Facts_Cat_table[[#This Row],[MONTHLY_INCOME]]</f>
        <v>935</v>
      </c>
      <c r="F12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1800</v>
      </c>
      <c r="G12">
        <f>Facts_Cat_table[[#This Row],[INCOME_P/CAT]]-Facts_Cat_table[[#This Row],[EXPENSES_P/CAT]]</f>
        <v>-865</v>
      </c>
      <c r="I12" s="3">
        <v>46357</v>
      </c>
      <c r="J12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2" t="e">
        <f>SUM($J$4:J12)</f>
        <v>#N/A</v>
      </c>
    </row>
    <row r="13" spans="2:11" x14ac:dyDescent="0.25">
      <c r="B13" s="3">
        <f t="shared" si="0"/>
        <v>46113</v>
      </c>
      <c r="C13">
        <f>VLOOKUP(Facts_Cat_table[[#This Row],[DATE_MONTH]],Incomes_table[],4,FALSE)</f>
        <v>18700</v>
      </c>
      <c r="D13" t="str">
        <f>INDEX(CATEGORIES_DIM[CATEGORY],MOD(ROW()-ROW($B$4),ROWS(CATEGORIES_DIM[CATEGORY]))+1)</f>
        <v>GIFTS/CHARITY</v>
      </c>
      <c r="E13">
        <f>INDEX(CATEGORIES_DIM[PTC],MATCH(Facts_Cat_table[[#This Row],[CATEGORY]],CATEGORIES_DIM[CATEGORY],0))*Facts_Cat_table[[#This Row],[MONTHLY_INCOME]]</f>
        <v>467.5</v>
      </c>
      <c r="F13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620</v>
      </c>
      <c r="G13">
        <f>Facts_Cat_table[[#This Row],[INCOME_P/CAT]]-Facts_Cat_table[[#This Row],[EXPENSES_P/CAT]]</f>
        <v>-152.5</v>
      </c>
      <c r="I13" s="3">
        <v>46388</v>
      </c>
      <c r="J13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3" t="e">
        <f>SUM($J$4:J13)</f>
        <v>#N/A</v>
      </c>
    </row>
    <row r="14" spans="2:11" x14ac:dyDescent="0.25">
      <c r="B14" s="5">
        <f t="shared" si="0"/>
        <v>46143</v>
      </c>
      <c r="C14">
        <f>VLOOKUP(Facts_Cat_table[[#This Row],[DATE_MONTH]],Incomes_table[],4,FALSE)</f>
        <v>9000</v>
      </c>
      <c r="D14" t="str">
        <f>INDEX(CATEGORIES_DIM[CATEGORY],MOD(ROW()-ROW($B$4),ROWS(CATEGORIES_DIM[CATEGORY]))+1)</f>
        <v>RENT/SERVICES</v>
      </c>
      <c r="E14">
        <f>INDEX(CATEGORIES_DIM[PTC],MATCH(Facts_Cat_table[[#This Row],[CATEGORY]],CATEGORIES_DIM[CATEGORY],0))*Facts_Cat_table[[#This Row],[MONTHLY_INCOME]]</f>
        <v>2700</v>
      </c>
      <c r="F14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4">
        <f>Facts_Cat_table[[#This Row],[INCOME_P/CAT]]-Facts_Cat_table[[#This Row],[EXPENSES_P/CAT]]</f>
        <v>2700</v>
      </c>
      <c r="I14" s="3">
        <v>46419</v>
      </c>
      <c r="J14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4" t="e">
        <f>SUM($J$4:J14)</f>
        <v>#N/A</v>
      </c>
    </row>
    <row r="15" spans="2:11" x14ac:dyDescent="0.25">
      <c r="B15" s="3">
        <f t="shared" si="0"/>
        <v>46143</v>
      </c>
      <c r="C15">
        <f>VLOOKUP(Facts_Cat_table[[#This Row],[DATE_MONTH]],Incomes_table[],4,FALSE)</f>
        <v>9000</v>
      </c>
      <c r="D15" t="str">
        <f>INDEX(CATEGORIES_DIM[CATEGORY],MOD(ROW()-ROW($B$4),ROWS(CATEGORIES_DIM[CATEGORY]))+1)</f>
        <v>FOOD</v>
      </c>
      <c r="E15">
        <f>INDEX(CATEGORIES_DIM[PTC],MATCH(Facts_Cat_table[[#This Row],[CATEGORY]],CATEGORIES_DIM[CATEGORY],0))*Facts_Cat_table[[#This Row],[MONTHLY_INCOME]]</f>
        <v>1800</v>
      </c>
      <c r="F15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5">
        <f>Facts_Cat_table[[#This Row],[INCOME_P/CAT]]-Facts_Cat_table[[#This Row],[EXPENSES_P/CAT]]</f>
        <v>1800</v>
      </c>
      <c r="I15" s="3">
        <v>46447</v>
      </c>
      <c r="J15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5" t="e">
        <f>SUM($J$4:J15)</f>
        <v>#N/A</v>
      </c>
    </row>
    <row r="16" spans="2:11" x14ac:dyDescent="0.25">
      <c r="B16" s="3">
        <f t="shared" si="0"/>
        <v>46143</v>
      </c>
      <c r="C16">
        <f>VLOOKUP(Facts_Cat_table[[#This Row],[DATE_MONTH]],Incomes_table[],4,FALSE)</f>
        <v>9000</v>
      </c>
      <c r="D16" t="str">
        <f>INDEX(CATEGORIES_DIM[CATEGORY],MOD(ROW()-ROW($B$4),ROWS(CATEGORIES_DIM[CATEGORY]))+1)</f>
        <v>ENTRETAIMENT</v>
      </c>
      <c r="E16">
        <f>INDEX(CATEGORIES_DIM[PTC],MATCH(Facts_Cat_table[[#This Row],[CATEGORY]],CATEGORIES_DIM[CATEGORY],0))*Facts_Cat_table[[#This Row],[MONTHLY_INCOME]]</f>
        <v>1350</v>
      </c>
      <c r="F16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6">
        <f>Facts_Cat_table[[#This Row],[INCOME_P/CAT]]-Facts_Cat_table[[#This Row],[EXPENSES_P/CAT]]</f>
        <v>1350</v>
      </c>
      <c r="I16" s="3">
        <v>46478</v>
      </c>
      <c r="J16" t="e">
        <f>INDEX(
    Facts_Cat_table[MONTHLY_INCOME],
    MATCH(Facts_Monthy_Earnigns[[#This Row],[MONTH]],Facts_Cat_table[DATE_MONTH],0)) -
SUMIFS(
    Facts_Cat_table[EXPENSES_P/CAT],
    Facts_Cat_table[DATE_MONTH],Facts_Monthy_Earnigns[[#This Row],[MONTH]])</f>
        <v>#N/A</v>
      </c>
      <c r="K16" t="e">
        <f>SUM($J$4:J16)</f>
        <v>#N/A</v>
      </c>
    </row>
    <row r="17" spans="2:7" x14ac:dyDescent="0.25">
      <c r="B17" s="3">
        <f t="shared" si="0"/>
        <v>46143</v>
      </c>
      <c r="C17">
        <f>VLOOKUP(Facts_Cat_table[[#This Row],[DATE_MONTH]],Incomes_table[],4,FALSE)</f>
        <v>9000</v>
      </c>
      <c r="D17" t="str">
        <f>INDEX(CATEGORIES_DIM[CATEGORY],MOD(ROW()-ROW($B$4),ROWS(CATEGORIES_DIM[CATEGORY]))+1)</f>
        <v>HEALTH</v>
      </c>
      <c r="E17">
        <f>INDEX(CATEGORIES_DIM[PTC],MATCH(Facts_Cat_table[[#This Row],[CATEGORY]],CATEGORIES_DIM[CATEGORY],0))*Facts_Cat_table[[#This Row],[MONTHLY_INCOME]]</f>
        <v>225</v>
      </c>
      <c r="F17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7">
        <f>Facts_Cat_table[[#This Row],[INCOME_P/CAT]]-Facts_Cat_table[[#This Row],[EXPENSES_P/CAT]]</f>
        <v>225</v>
      </c>
    </row>
    <row r="18" spans="2:7" x14ac:dyDescent="0.25">
      <c r="B18" s="3">
        <f t="shared" si="0"/>
        <v>46143</v>
      </c>
      <c r="C18">
        <f>VLOOKUP(Facts_Cat_table[[#This Row],[DATE_MONTH]],Incomes_table[],4,FALSE)</f>
        <v>9000</v>
      </c>
      <c r="D18" t="str">
        <f>INDEX(CATEGORIES_DIM[CATEGORY],MOD(ROW()-ROW($B$4),ROWS(CATEGORIES_DIM[CATEGORY]))+1)</f>
        <v>EDUCATION</v>
      </c>
      <c r="E18">
        <f>INDEX(CATEGORIES_DIM[PTC],MATCH(Facts_Cat_table[[#This Row],[CATEGORY]],CATEGORIES_DIM[CATEGORY],0))*Facts_Cat_table[[#This Row],[MONTHLY_INCOME]]</f>
        <v>450</v>
      </c>
      <c r="F18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8">
        <f>Facts_Cat_table[[#This Row],[INCOME_P/CAT]]-Facts_Cat_table[[#This Row],[EXPENSES_P/CAT]]</f>
        <v>450</v>
      </c>
    </row>
    <row r="19" spans="2:7" x14ac:dyDescent="0.25">
      <c r="B19" s="3">
        <f t="shared" si="0"/>
        <v>46143</v>
      </c>
      <c r="C19">
        <f>VLOOKUP(Facts_Cat_table[[#This Row],[DATE_MONTH]],Incomes_table[],4,FALSE)</f>
        <v>9000</v>
      </c>
      <c r="D19" t="str">
        <f>INDEX(CATEGORIES_DIM[CATEGORY],MOD(ROW()-ROW($B$4),ROWS(CATEGORIES_DIM[CATEGORY]))+1)</f>
        <v>TRAVEL</v>
      </c>
      <c r="E19">
        <f>INDEX(CATEGORIES_DIM[PTC],MATCH(Facts_Cat_table[[#This Row],[CATEGORY]],CATEGORIES_DIM[CATEGORY],0))*Facts_Cat_table[[#This Row],[MONTHLY_INCOME]]</f>
        <v>900</v>
      </c>
      <c r="F19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19">
        <f>Facts_Cat_table[[#This Row],[INCOME_P/CAT]]-Facts_Cat_table[[#This Row],[EXPENSES_P/CAT]]</f>
        <v>900</v>
      </c>
    </row>
    <row r="20" spans="2:7" x14ac:dyDescent="0.25">
      <c r="B20" s="3">
        <f t="shared" si="0"/>
        <v>46143</v>
      </c>
      <c r="C20">
        <f>VLOOKUP(Facts_Cat_table[[#This Row],[DATE_MONTH]],Incomes_table[],4,FALSE)</f>
        <v>9000</v>
      </c>
      <c r="D20" t="str">
        <f>INDEX(CATEGORIES_DIM[CATEGORY],MOD(ROW()-ROW($B$4),ROWS(CATEGORIES_DIM[CATEGORY]))+1)</f>
        <v>EMERGENCIES</v>
      </c>
      <c r="E20">
        <f>INDEX(CATEGORIES_DIM[PTC],MATCH(Facts_Cat_table[[#This Row],[CATEGORY]],CATEGORIES_DIM[CATEGORY],0))*Facts_Cat_table[[#This Row],[MONTHLY_INCOME]]</f>
        <v>450</v>
      </c>
      <c r="F20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0">
        <f>Facts_Cat_table[[#This Row],[INCOME_P/CAT]]-Facts_Cat_table[[#This Row],[EXPENSES_P/CAT]]</f>
        <v>450</v>
      </c>
    </row>
    <row r="21" spans="2:7" x14ac:dyDescent="0.25">
      <c r="B21" s="3">
        <f t="shared" si="0"/>
        <v>46143</v>
      </c>
      <c r="C21">
        <f>VLOOKUP(Facts_Cat_table[[#This Row],[DATE_MONTH]],Incomes_table[],4,FALSE)</f>
        <v>9000</v>
      </c>
      <c r="D21" t="str">
        <f>INDEX(CATEGORIES_DIM[CATEGORY],MOD(ROW()-ROW($B$4),ROWS(CATEGORIES_DIM[CATEGORY]))+1)</f>
        <v>INVESMENT</v>
      </c>
      <c r="E21">
        <f>INDEX(CATEGORIES_DIM[PTC],MATCH(Facts_Cat_table[[#This Row],[CATEGORY]],CATEGORIES_DIM[CATEGORY],0))*Facts_Cat_table[[#This Row],[MONTHLY_INCOME]]</f>
        <v>450</v>
      </c>
      <c r="F21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1">
        <f>Facts_Cat_table[[#This Row],[INCOME_P/CAT]]-Facts_Cat_table[[#This Row],[EXPENSES_P/CAT]]</f>
        <v>450</v>
      </c>
    </row>
    <row r="22" spans="2:7" x14ac:dyDescent="0.25">
      <c r="B22" s="3">
        <f t="shared" si="0"/>
        <v>46143</v>
      </c>
      <c r="C22">
        <f>VLOOKUP(Facts_Cat_table[[#This Row],[DATE_MONTH]],Incomes_table[],4,FALSE)</f>
        <v>9000</v>
      </c>
      <c r="D22" t="str">
        <f>INDEX(CATEGORIES_DIM[CATEGORY],MOD(ROW()-ROW($B$4),ROWS(CATEGORIES_DIM[CATEGORY]))+1)</f>
        <v>WHIMS</v>
      </c>
      <c r="E22">
        <f>INDEX(CATEGORIES_DIM[PTC],MATCH(Facts_Cat_table[[#This Row],[CATEGORY]],CATEGORIES_DIM[CATEGORY],0))*Facts_Cat_table[[#This Row],[MONTHLY_INCOME]]</f>
        <v>450</v>
      </c>
      <c r="F22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2">
        <f>Facts_Cat_table[[#This Row],[INCOME_P/CAT]]-Facts_Cat_table[[#This Row],[EXPENSES_P/CAT]]</f>
        <v>450</v>
      </c>
    </row>
    <row r="23" spans="2:7" x14ac:dyDescent="0.25">
      <c r="B23" s="3">
        <f t="shared" si="0"/>
        <v>46143</v>
      </c>
      <c r="C23">
        <f>VLOOKUP(Facts_Cat_table[[#This Row],[DATE_MONTH]],Incomes_table[],4,FALSE)</f>
        <v>9000</v>
      </c>
      <c r="D23" t="str">
        <f>INDEX(CATEGORIES_DIM[CATEGORY],MOD(ROW()-ROW($B$4),ROWS(CATEGORIES_DIM[CATEGORY]))+1)</f>
        <v>GIFTS/CHARITY</v>
      </c>
      <c r="E23">
        <f>INDEX(CATEGORIES_DIM[PTC],MATCH(Facts_Cat_table[[#This Row],[CATEGORY]],CATEGORIES_DIM[CATEGORY],0))*Facts_Cat_table[[#This Row],[MONTHLY_INCOME]]</f>
        <v>225</v>
      </c>
      <c r="F23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3">
        <f>Facts_Cat_table[[#This Row],[INCOME_P/CAT]]-Facts_Cat_table[[#This Row],[EXPENSES_P/CAT]]</f>
        <v>225</v>
      </c>
    </row>
    <row r="24" spans="2:7" x14ac:dyDescent="0.25">
      <c r="B24" s="5">
        <f t="shared" si="0"/>
        <v>46174</v>
      </c>
      <c r="C24">
        <f>VLOOKUP(Facts_Cat_table[[#This Row],[DATE_MONTH]],Incomes_table[],4,FALSE)</f>
        <v>0</v>
      </c>
      <c r="D24" t="str">
        <f>INDEX(CATEGORIES_DIM[CATEGORY],MOD(ROW()-ROW($B$4),ROWS(CATEGORIES_DIM[CATEGORY]))+1)</f>
        <v>RENT/SERVICES</v>
      </c>
      <c r="E24">
        <f>INDEX(CATEGORIES_DIM[PTC],MATCH(Facts_Cat_table[[#This Row],[CATEGORY]],CATEGORIES_DIM[CATEGORY],0))*Facts_Cat_table[[#This Row],[MONTHLY_INCOME]]</f>
        <v>0</v>
      </c>
      <c r="F24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4">
        <f>Facts_Cat_table[[#This Row],[INCOME_P/CAT]]-Facts_Cat_table[[#This Row],[EXPENSES_P/CAT]]</f>
        <v>0</v>
      </c>
    </row>
    <row r="25" spans="2:7" x14ac:dyDescent="0.25">
      <c r="B25" s="3">
        <f t="shared" si="0"/>
        <v>46174</v>
      </c>
      <c r="C25">
        <f>VLOOKUP(Facts_Cat_table[[#This Row],[DATE_MONTH]],Incomes_table[],4,FALSE)</f>
        <v>0</v>
      </c>
      <c r="D25" t="str">
        <f>INDEX(CATEGORIES_DIM[CATEGORY],MOD(ROW()-ROW($B$4),ROWS(CATEGORIES_DIM[CATEGORY]))+1)</f>
        <v>FOOD</v>
      </c>
      <c r="E25">
        <f>INDEX(CATEGORIES_DIM[PTC],MATCH(Facts_Cat_table[[#This Row],[CATEGORY]],CATEGORIES_DIM[CATEGORY],0))*Facts_Cat_table[[#This Row],[MONTHLY_INCOME]]</f>
        <v>0</v>
      </c>
      <c r="F25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5">
        <f>Facts_Cat_table[[#This Row],[INCOME_P/CAT]]-Facts_Cat_table[[#This Row],[EXPENSES_P/CAT]]</f>
        <v>0</v>
      </c>
    </row>
    <row r="26" spans="2:7" x14ac:dyDescent="0.25">
      <c r="B26" s="3">
        <f t="shared" si="0"/>
        <v>46174</v>
      </c>
      <c r="C26">
        <f>VLOOKUP(Facts_Cat_table[[#This Row],[DATE_MONTH]],Incomes_table[],4,FALSE)</f>
        <v>0</v>
      </c>
      <c r="D26" t="str">
        <f>INDEX(CATEGORIES_DIM[CATEGORY],MOD(ROW()-ROW($B$4),ROWS(CATEGORIES_DIM[CATEGORY]))+1)</f>
        <v>ENTRETAIMENT</v>
      </c>
      <c r="E26">
        <f>INDEX(CATEGORIES_DIM[PTC],MATCH(Facts_Cat_table[[#This Row],[CATEGORY]],CATEGORIES_DIM[CATEGORY],0))*Facts_Cat_table[[#This Row],[MONTHLY_INCOME]]</f>
        <v>0</v>
      </c>
      <c r="F26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6">
        <f>Facts_Cat_table[[#This Row],[INCOME_P/CAT]]-Facts_Cat_table[[#This Row],[EXPENSES_P/CAT]]</f>
        <v>0</v>
      </c>
    </row>
    <row r="27" spans="2:7" x14ac:dyDescent="0.25">
      <c r="B27" s="3">
        <f t="shared" si="0"/>
        <v>46174</v>
      </c>
      <c r="C27">
        <f>VLOOKUP(Facts_Cat_table[[#This Row],[DATE_MONTH]],Incomes_table[],4,FALSE)</f>
        <v>0</v>
      </c>
      <c r="D27" t="str">
        <f>INDEX(CATEGORIES_DIM[CATEGORY],MOD(ROW()-ROW($B$4),ROWS(CATEGORIES_DIM[CATEGORY]))+1)</f>
        <v>HEALTH</v>
      </c>
      <c r="E27">
        <f>INDEX(CATEGORIES_DIM[PTC],MATCH(Facts_Cat_table[[#This Row],[CATEGORY]],CATEGORIES_DIM[CATEGORY],0))*Facts_Cat_table[[#This Row],[MONTHLY_INCOME]]</f>
        <v>0</v>
      </c>
      <c r="F27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7">
        <f>Facts_Cat_table[[#This Row],[INCOME_P/CAT]]-Facts_Cat_table[[#This Row],[EXPENSES_P/CAT]]</f>
        <v>0</v>
      </c>
    </row>
    <row r="28" spans="2:7" x14ac:dyDescent="0.25">
      <c r="B28" s="3">
        <f t="shared" si="0"/>
        <v>46174</v>
      </c>
      <c r="C28">
        <f>VLOOKUP(Facts_Cat_table[[#This Row],[DATE_MONTH]],Incomes_table[],4,FALSE)</f>
        <v>0</v>
      </c>
      <c r="D28" t="str">
        <f>INDEX(CATEGORIES_DIM[CATEGORY],MOD(ROW()-ROW($B$4),ROWS(CATEGORIES_DIM[CATEGORY]))+1)</f>
        <v>EDUCATION</v>
      </c>
      <c r="E28">
        <f>INDEX(CATEGORIES_DIM[PTC],MATCH(Facts_Cat_table[[#This Row],[CATEGORY]],CATEGORIES_DIM[CATEGORY],0))*Facts_Cat_table[[#This Row],[MONTHLY_INCOME]]</f>
        <v>0</v>
      </c>
      <c r="F28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8">
        <f>Facts_Cat_table[[#This Row],[INCOME_P/CAT]]-Facts_Cat_table[[#This Row],[EXPENSES_P/CAT]]</f>
        <v>0</v>
      </c>
    </row>
    <row r="29" spans="2:7" x14ac:dyDescent="0.25">
      <c r="B29" s="3">
        <f t="shared" si="0"/>
        <v>46174</v>
      </c>
      <c r="C29">
        <f>VLOOKUP(Facts_Cat_table[[#This Row],[DATE_MONTH]],Incomes_table[],4,FALSE)</f>
        <v>0</v>
      </c>
      <c r="D29" t="str">
        <f>INDEX(CATEGORIES_DIM[CATEGORY],MOD(ROW()-ROW($B$4),ROWS(CATEGORIES_DIM[CATEGORY]))+1)</f>
        <v>TRAVEL</v>
      </c>
      <c r="E29">
        <f>INDEX(CATEGORIES_DIM[PTC],MATCH(Facts_Cat_table[[#This Row],[CATEGORY]],CATEGORIES_DIM[CATEGORY],0))*Facts_Cat_table[[#This Row],[MONTHLY_INCOME]]</f>
        <v>0</v>
      </c>
      <c r="F29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29">
        <f>Facts_Cat_table[[#This Row],[INCOME_P/CAT]]-Facts_Cat_table[[#This Row],[EXPENSES_P/CAT]]</f>
        <v>0</v>
      </c>
    </row>
    <row r="30" spans="2:7" x14ac:dyDescent="0.25">
      <c r="B30" s="3">
        <f t="shared" si="0"/>
        <v>46174</v>
      </c>
      <c r="C30">
        <f>VLOOKUP(Facts_Cat_table[[#This Row],[DATE_MONTH]],Incomes_table[],4,FALSE)</f>
        <v>0</v>
      </c>
      <c r="D30" t="str">
        <f>INDEX(CATEGORIES_DIM[CATEGORY],MOD(ROW()-ROW($B$4),ROWS(CATEGORIES_DIM[CATEGORY]))+1)</f>
        <v>EMERGENCIES</v>
      </c>
      <c r="E30">
        <f>INDEX(CATEGORIES_DIM[PTC],MATCH(Facts_Cat_table[[#This Row],[CATEGORY]],CATEGORIES_DIM[CATEGORY],0))*Facts_Cat_table[[#This Row],[MONTHLY_INCOME]]</f>
        <v>0</v>
      </c>
      <c r="F30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0">
        <f>Facts_Cat_table[[#This Row],[INCOME_P/CAT]]-Facts_Cat_table[[#This Row],[EXPENSES_P/CAT]]</f>
        <v>0</v>
      </c>
    </row>
    <row r="31" spans="2:7" x14ac:dyDescent="0.25">
      <c r="B31" s="3">
        <f t="shared" si="0"/>
        <v>46174</v>
      </c>
      <c r="C31">
        <f>VLOOKUP(Facts_Cat_table[[#This Row],[DATE_MONTH]],Incomes_table[],4,FALSE)</f>
        <v>0</v>
      </c>
      <c r="D31" t="str">
        <f>INDEX(CATEGORIES_DIM[CATEGORY],MOD(ROW()-ROW($B$4),ROWS(CATEGORIES_DIM[CATEGORY]))+1)</f>
        <v>INVESMENT</v>
      </c>
      <c r="E31">
        <f>INDEX(CATEGORIES_DIM[PTC],MATCH(Facts_Cat_table[[#This Row],[CATEGORY]],CATEGORIES_DIM[CATEGORY],0))*Facts_Cat_table[[#This Row],[MONTHLY_INCOME]]</f>
        <v>0</v>
      </c>
      <c r="F31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1">
        <f>Facts_Cat_table[[#This Row],[INCOME_P/CAT]]-Facts_Cat_table[[#This Row],[EXPENSES_P/CAT]]</f>
        <v>0</v>
      </c>
    </row>
    <row r="32" spans="2:7" x14ac:dyDescent="0.25">
      <c r="B32" s="3">
        <f t="shared" si="0"/>
        <v>46174</v>
      </c>
      <c r="C32">
        <f>VLOOKUP(Facts_Cat_table[[#This Row],[DATE_MONTH]],Incomes_table[],4,FALSE)</f>
        <v>0</v>
      </c>
      <c r="D32" t="str">
        <f>INDEX(CATEGORIES_DIM[CATEGORY],MOD(ROW()-ROW($B$4),ROWS(CATEGORIES_DIM[CATEGORY]))+1)</f>
        <v>WHIMS</v>
      </c>
      <c r="E32">
        <f>INDEX(CATEGORIES_DIM[PTC],MATCH(Facts_Cat_table[[#This Row],[CATEGORY]],CATEGORIES_DIM[CATEGORY],0))*Facts_Cat_table[[#This Row],[MONTHLY_INCOME]]</f>
        <v>0</v>
      </c>
      <c r="F32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2">
        <f>Facts_Cat_table[[#This Row],[INCOME_P/CAT]]-Facts_Cat_table[[#This Row],[EXPENSES_P/CAT]]</f>
        <v>0</v>
      </c>
    </row>
    <row r="33" spans="2:7" x14ac:dyDescent="0.25">
      <c r="B33" s="3">
        <f t="shared" si="0"/>
        <v>46174</v>
      </c>
      <c r="C33">
        <f>VLOOKUP(Facts_Cat_table[[#This Row],[DATE_MONTH]],Incomes_table[],4,FALSE)</f>
        <v>0</v>
      </c>
      <c r="D33" t="str">
        <f>INDEX(CATEGORIES_DIM[CATEGORY],MOD(ROW()-ROW($B$4),ROWS(CATEGORIES_DIM[CATEGORY]))+1)</f>
        <v>GIFTS/CHARITY</v>
      </c>
      <c r="E33">
        <f>INDEX(CATEGORIES_DIM[PTC],MATCH(Facts_Cat_table[[#This Row],[CATEGORY]],CATEGORIES_DIM[CATEGORY],0))*Facts_Cat_table[[#This Row],[MONTHLY_INCOME]]</f>
        <v>0</v>
      </c>
      <c r="F33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3">
        <f>Facts_Cat_table[[#This Row],[INCOME_P/CAT]]-Facts_Cat_table[[#This Row],[EXPENSES_P/CAT]]</f>
        <v>0</v>
      </c>
    </row>
    <row r="34" spans="2:7" x14ac:dyDescent="0.25">
      <c r="B34" s="5">
        <f t="shared" si="0"/>
        <v>46204</v>
      </c>
      <c r="C34">
        <f>VLOOKUP(Facts_Cat_table[[#This Row],[DATE_MONTH]],Incomes_table[],4,FALSE)</f>
        <v>0</v>
      </c>
      <c r="D34" t="str">
        <f>INDEX(CATEGORIES_DIM[CATEGORY],MOD(ROW()-ROW($B$4),ROWS(CATEGORIES_DIM[CATEGORY]))+1)</f>
        <v>RENT/SERVICES</v>
      </c>
      <c r="E34">
        <f>INDEX(CATEGORIES_DIM[PTC],MATCH(Facts_Cat_table[[#This Row],[CATEGORY]],CATEGORIES_DIM[CATEGORY],0))*Facts_Cat_table[[#This Row],[MONTHLY_INCOME]]</f>
        <v>0</v>
      </c>
      <c r="F34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4">
        <f>Facts_Cat_table[[#This Row],[INCOME_P/CAT]]-Facts_Cat_table[[#This Row],[EXPENSES_P/CAT]]</f>
        <v>0</v>
      </c>
    </row>
    <row r="35" spans="2:7" x14ac:dyDescent="0.25">
      <c r="B35" s="3">
        <f t="shared" si="0"/>
        <v>46204</v>
      </c>
      <c r="C35">
        <f>VLOOKUP(Facts_Cat_table[[#This Row],[DATE_MONTH]],Incomes_table[],4,FALSE)</f>
        <v>0</v>
      </c>
      <c r="D35" t="str">
        <f>INDEX(CATEGORIES_DIM[CATEGORY],MOD(ROW()-ROW($B$4),ROWS(CATEGORIES_DIM[CATEGORY]))+1)</f>
        <v>FOOD</v>
      </c>
      <c r="E35">
        <f>INDEX(CATEGORIES_DIM[PTC],MATCH(Facts_Cat_table[[#This Row],[CATEGORY]],CATEGORIES_DIM[CATEGORY],0))*Facts_Cat_table[[#This Row],[MONTHLY_INCOME]]</f>
        <v>0</v>
      </c>
      <c r="F35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5">
        <f>Facts_Cat_table[[#This Row],[INCOME_P/CAT]]-Facts_Cat_table[[#This Row],[EXPENSES_P/CAT]]</f>
        <v>0</v>
      </c>
    </row>
    <row r="36" spans="2:7" x14ac:dyDescent="0.25">
      <c r="B36" s="3">
        <f t="shared" si="0"/>
        <v>46204</v>
      </c>
      <c r="C36">
        <f>VLOOKUP(Facts_Cat_table[[#This Row],[DATE_MONTH]],Incomes_table[],4,FALSE)</f>
        <v>0</v>
      </c>
      <c r="D36" t="str">
        <f>INDEX(CATEGORIES_DIM[CATEGORY],MOD(ROW()-ROW($B$4),ROWS(CATEGORIES_DIM[CATEGORY]))+1)</f>
        <v>ENTRETAIMENT</v>
      </c>
      <c r="E36">
        <f>INDEX(CATEGORIES_DIM[PTC],MATCH(Facts_Cat_table[[#This Row],[CATEGORY]],CATEGORIES_DIM[CATEGORY],0))*Facts_Cat_table[[#This Row],[MONTHLY_INCOME]]</f>
        <v>0</v>
      </c>
      <c r="F36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6">
        <f>Facts_Cat_table[[#This Row],[INCOME_P/CAT]]-Facts_Cat_table[[#This Row],[EXPENSES_P/CAT]]</f>
        <v>0</v>
      </c>
    </row>
    <row r="37" spans="2:7" x14ac:dyDescent="0.25">
      <c r="B37" s="3">
        <f t="shared" si="0"/>
        <v>46204</v>
      </c>
      <c r="C37">
        <f>VLOOKUP(Facts_Cat_table[[#This Row],[DATE_MONTH]],Incomes_table[],4,FALSE)</f>
        <v>0</v>
      </c>
      <c r="D37" t="str">
        <f>INDEX(CATEGORIES_DIM[CATEGORY],MOD(ROW()-ROW($B$4),ROWS(CATEGORIES_DIM[CATEGORY]))+1)</f>
        <v>HEALTH</v>
      </c>
      <c r="E37">
        <f>INDEX(CATEGORIES_DIM[PTC],MATCH(Facts_Cat_table[[#This Row],[CATEGORY]],CATEGORIES_DIM[CATEGORY],0))*Facts_Cat_table[[#This Row],[MONTHLY_INCOME]]</f>
        <v>0</v>
      </c>
      <c r="F37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7">
        <f>Facts_Cat_table[[#This Row],[INCOME_P/CAT]]-Facts_Cat_table[[#This Row],[EXPENSES_P/CAT]]</f>
        <v>0</v>
      </c>
    </row>
    <row r="38" spans="2:7" x14ac:dyDescent="0.25">
      <c r="B38" s="3">
        <f t="shared" si="0"/>
        <v>46204</v>
      </c>
      <c r="C38">
        <f>VLOOKUP(Facts_Cat_table[[#This Row],[DATE_MONTH]],Incomes_table[],4,FALSE)</f>
        <v>0</v>
      </c>
      <c r="D38" t="str">
        <f>INDEX(CATEGORIES_DIM[CATEGORY],MOD(ROW()-ROW($B$4),ROWS(CATEGORIES_DIM[CATEGORY]))+1)</f>
        <v>EDUCATION</v>
      </c>
      <c r="E38">
        <f>INDEX(CATEGORIES_DIM[PTC],MATCH(Facts_Cat_table[[#This Row],[CATEGORY]],CATEGORIES_DIM[CATEGORY],0))*Facts_Cat_table[[#This Row],[MONTHLY_INCOME]]</f>
        <v>0</v>
      </c>
      <c r="F38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8">
        <f>Facts_Cat_table[[#This Row],[INCOME_P/CAT]]-Facts_Cat_table[[#This Row],[EXPENSES_P/CAT]]</f>
        <v>0</v>
      </c>
    </row>
    <row r="39" spans="2:7" x14ac:dyDescent="0.25">
      <c r="B39" s="3">
        <f t="shared" si="0"/>
        <v>46204</v>
      </c>
      <c r="C39">
        <f>VLOOKUP(Facts_Cat_table[[#This Row],[DATE_MONTH]],Incomes_table[],4,FALSE)</f>
        <v>0</v>
      </c>
      <c r="D39" t="str">
        <f>INDEX(CATEGORIES_DIM[CATEGORY],MOD(ROW()-ROW($B$4),ROWS(CATEGORIES_DIM[CATEGORY]))+1)</f>
        <v>TRAVEL</v>
      </c>
      <c r="E39">
        <f>INDEX(CATEGORIES_DIM[PTC],MATCH(Facts_Cat_table[[#This Row],[CATEGORY]],CATEGORIES_DIM[CATEGORY],0))*Facts_Cat_table[[#This Row],[MONTHLY_INCOME]]</f>
        <v>0</v>
      </c>
      <c r="F39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39">
        <f>Facts_Cat_table[[#This Row],[INCOME_P/CAT]]-Facts_Cat_table[[#This Row],[EXPENSES_P/CAT]]</f>
        <v>0</v>
      </c>
    </row>
    <row r="40" spans="2:7" x14ac:dyDescent="0.25">
      <c r="B40" s="3">
        <f t="shared" si="0"/>
        <v>46204</v>
      </c>
      <c r="C40">
        <f>VLOOKUP(Facts_Cat_table[[#This Row],[DATE_MONTH]],Incomes_table[],4,FALSE)</f>
        <v>0</v>
      </c>
      <c r="D40" t="str">
        <f>INDEX(CATEGORIES_DIM[CATEGORY],MOD(ROW()-ROW($B$4),ROWS(CATEGORIES_DIM[CATEGORY]))+1)</f>
        <v>EMERGENCIES</v>
      </c>
      <c r="E40">
        <f>INDEX(CATEGORIES_DIM[PTC],MATCH(Facts_Cat_table[[#This Row],[CATEGORY]],CATEGORIES_DIM[CATEGORY],0))*Facts_Cat_table[[#This Row],[MONTHLY_INCOME]]</f>
        <v>0</v>
      </c>
      <c r="F40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40">
        <f>Facts_Cat_table[[#This Row],[INCOME_P/CAT]]-Facts_Cat_table[[#This Row],[EXPENSES_P/CAT]]</f>
        <v>0</v>
      </c>
    </row>
    <row r="41" spans="2:7" x14ac:dyDescent="0.25">
      <c r="B41" s="3">
        <f t="shared" si="0"/>
        <v>46204</v>
      </c>
      <c r="C41">
        <f>VLOOKUP(Facts_Cat_table[[#This Row],[DATE_MONTH]],Incomes_table[],4,FALSE)</f>
        <v>0</v>
      </c>
      <c r="D41" t="str">
        <f>INDEX(CATEGORIES_DIM[CATEGORY],MOD(ROW()-ROW($B$4),ROWS(CATEGORIES_DIM[CATEGORY]))+1)</f>
        <v>INVESMENT</v>
      </c>
      <c r="E41">
        <f>INDEX(CATEGORIES_DIM[PTC],MATCH(Facts_Cat_table[[#This Row],[CATEGORY]],CATEGORIES_DIM[CATEGORY],0))*Facts_Cat_table[[#This Row],[MONTHLY_INCOME]]</f>
        <v>0</v>
      </c>
      <c r="F41">
        <f>SUMIFS(Daily_expenses[AMOUNT],Daily_expenses[CATEGORY],Facts_Cat_table[[#This Row],[CATEGORY]],Daily_expenses[DATE],"&gt;="&amp;Facts_Cat_table[[#This Row],[DATE_MONTH]],Daily_expenses[DATE],"&lt;"&amp;DATE(YEAR(Facts_Cat_table[[#This Row],[DATE_MONTH]]),MONTH(Facts_Cat_table[[#This Row],[DATE_MONTH]])+1,1))</f>
        <v>0</v>
      </c>
      <c r="G41">
        <f>Facts_Cat_table[[#This Row],[INCOME_P/CAT]]-Facts_Cat_table[[#This Row],[EXPENSES_P/CAT]]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Dayly_Expenses</vt:lpstr>
      <vt:lpstr>Resume</vt:lpstr>
      <vt:lpstr>Informative_Dashboard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2026-04-08T19:48:26Z</dcterms:created>
  <dcterms:modified xsi:type="dcterms:W3CDTF">2026-04-28T18:19:26Z</dcterms:modified>
</cp:coreProperties>
</file>